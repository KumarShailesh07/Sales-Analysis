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hidePivotFieldList="1" defaultThemeVersion="202300"/>
  <mc:AlternateContent xmlns:mc="http://schemas.openxmlformats.org/markup-compatibility/2006">
    <mc:Choice Requires="x15">
      <x15ac:absPath xmlns:x15ac="http://schemas.microsoft.com/office/spreadsheetml/2010/11/ac" url="D:\Excel(YouTube)\Mini Projects\Sales Analysis\"/>
    </mc:Choice>
  </mc:AlternateContent>
  <xr:revisionPtr revIDLastSave="0" documentId="13_ncr:1_{A4B71EBF-6DEE-4695-980B-E3EBF88ED6B8}" xr6:coauthVersionLast="47" xr6:coauthVersionMax="47" xr10:uidLastSave="{00000000-0000-0000-0000-000000000000}"/>
  <bookViews>
    <workbookView xWindow="-110" yWindow="-110" windowWidth="19420" windowHeight="11020" tabRatio="853" activeTab="3" xr2:uid="{5450221A-C57F-47C6-9768-1389976DFA65}"/>
  </bookViews>
  <sheets>
    <sheet name=" Sales Performance Analysis" sheetId="3" r:id="rId1"/>
    <sheet name="Monthly Sales Trend Report" sheetId="5" r:id="rId2"/>
    <sheet name=" Customer Purchase Analysis" sheetId="6" r:id="rId3"/>
    <sheet name="Raw Data" sheetId="1" r:id="rId4"/>
  </sheets>
  <definedNames>
    <definedName name="Slicer_City">#N/A</definedName>
    <definedName name="Slicer_Product">#N/A</definedName>
  </definedNames>
  <calcPr calcId="191029"/>
  <pivotCaches>
    <pivotCache cacheId="16"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<sst xmlns="http://schemas.openxmlformats.org/spreadsheetml/2006/main" count="357" uniqueCount="109">
  <si>
    <t>Transaction_ID</t>
  </si>
  <si>
    <t>Date</t>
  </si>
  <si>
    <t>Customer_Name</t>
  </si>
  <si>
    <t>Product</t>
  </si>
  <si>
    <t>Units_Sold</t>
  </si>
  <si>
    <t>Price_Per_Unit</t>
  </si>
  <si>
    <t>Total_Sales</t>
  </si>
  <si>
    <t>City</t>
  </si>
  <si>
    <t>T001</t>
  </si>
  <si>
    <t xml:space="preserve">Pooja </t>
  </si>
  <si>
    <t>Webcam</t>
  </si>
  <si>
    <t>Delhi</t>
  </si>
  <si>
    <t>T002</t>
  </si>
  <si>
    <t>Karan</t>
  </si>
  <si>
    <t>Keyboard</t>
  </si>
  <si>
    <t>Pune</t>
  </si>
  <si>
    <t>T003</t>
  </si>
  <si>
    <t>Sneha</t>
  </si>
  <si>
    <t>Mouse</t>
  </si>
  <si>
    <t>Hyderabad</t>
  </si>
  <si>
    <t>T004</t>
  </si>
  <si>
    <t>Rahul</t>
  </si>
  <si>
    <t>T005</t>
  </si>
  <si>
    <t>Amit</t>
  </si>
  <si>
    <t>Mumbai</t>
  </si>
  <si>
    <t>T006</t>
  </si>
  <si>
    <t>Headphones</t>
  </si>
  <si>
    <t>Bengaluru</t>
  </si>
  <si>
    <t>T007</t>
  </si>
  <si>
    <t>T008</t>
  </si>
  <si>
    <t>T009</t>
  </si>
  <si>
    <t>T010</t>
  </si>
  <si>
    <t>Priya</t>
  </si>
  <si>
    <t>T011</t>
  </si>
  <si>
    <t>Anita</t>
  </si>
  <si>
    <t>Tablet</t>
  </si>
  <si>
    <t>T012</t>
  </si>
  <si>
    <t>T013</t>
  </si>
  <si>
    <t>T014</t>
  </si>
  <si>
    <t>Laptop</t>
  </si>
  <si>
    <t>T015</t>
  </si>
  <si>
    <t>T016</t>
  </si>
  <si>
    <t>T017</t>
  </si>
  <si>
    <t>Neha</t>
  </si>
  <si>
    <t>T018</t>
  </si>
  <si>
    <t>T019</t>
  </si>
  <si>
    <t>Printer</t>
  </si>
  <si>
    <t>T020</t>
  </si>
  <si>
    <t>Chennai</t>
  </si>
  <si>
    <t>T021</t>
  </si>
  <si>
    <t>T022</t>
  </si>
  <si>
    <t>Vikram</t>
  </si>
  <si>
    <t>T023</t>
  </si>
  <si>
    <t>T024</t>
  </si>
  <si>
    <t>T025</t>
  </si>
  <si>
    <t>T026</t>
  </si>
  <si>
    <t>T027</t>
  </si>
  <si>
    <t>T028</t>
  </si>
  <si>
    <t>Monitor</t>
  </si>
  <si>
    <t>T029</t>
  </si>
  <si>
    <t>T030</t>
  </si>
  <si>
    <t>T031</t>
  </si>
  <si>
    <t>T032</t>
  </si>
  <si>
    <t>T033</t>
  </si>
  <si>
    <t>T034</t>
  </si>
  <si>
    <t>T035</t>
  </si>
  <si>
    <t>T036</t>
  </si>
  <si>
    <t>T037</t>
  </si>
  <si>
    <t>T038</t>
  </si>
  <si>
    <t>T039</t>
  </si>
  <si>
    <t>T040</t>
  </si>
  <si>
    <t>T041</t>
  </si>
  <si>
    <t>T042</t>
  </si>
  <si>
    <t>T043</t>
  </si>
  <si>
    <t>T044</t>
  </si>
  <si>
    <t>T045</t>
  </si>
  <si>
    <t>T046</t>
  </si>
  <si>
    <t>T047</t>
  </si>
  <si>
    <t>T048</t>
  </si>
  <si>
    <t>T049</t>
  </si>
  <si>
    <t>T050</t>
  </si>
  <si>
    <t>Row Labels</t>
  </si>
  <si>
    <t>Grand Total</t>
  </si>
  <si>
    <t>Sum of Total_Sales</t>
  </si>
  <si>
    <t>Total_Sales as % of Grand Total</t>
  </si>
  <si>
    <t>Top Product = Webcam</t>
  </si>
  <si>
    <t>Top City = Hyderabad</t>
  </si>
  <si>
    <t>Jan</t>
  </si>
  <si>
    <t>Feb</t>
  </si>
  <si>
    <t>Mar</t>
  </si>
  <si>
    <t>Apr</t>
  </si>
  <si>
    <t>May</t>
  </si>
  <si>
    <t>Jun</t>
  </si>
  <si>
    <t>Jul</t>
  </si>
  <si>
    <t>Aug</t>
  </si>
  <si>
    <t>Sep</t>
  </si>
  <si>
    <t>Oct</t>
  </si>
  <si>
    <t>Months (Date)</t>
  </si>
  <si>
    <t>Total</t>
  </si>
  <si>
    <t>2024</t>
  </si>
  <si>
    <t>Years (Date)</t>
  </si>
  <si>
    <t>2024 Total</t>
  </si>
  <si>
    <t>Running Total of Total_Sales</t>
  </si>
  <si>
    <t>(All)</t>
  </si>
  <si>
    <t>Best Sales Month = Jan</t>
  </si>
  <si>
    <t>Worst Sales Month = May</t>
  </si>
  <si>
    <t>Count of Customer_Name</t>
  </si>
  <si>
    <t xml:space="preserve"> Total_Sales as % of Grand Total</t>
  </si>
  <si>
    <t>Top 5 Customers by Sales Contribution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</si>
</sst>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8">
    <fill>
      <patternFill patternType="none"/>
    </fill>
    <fill>
      <patternFill patternType="gray125"/>
    </fill>
    <fill>
      <patternFill patternType="solid">
        <fgColor theme="3" tint="0.749992370372631"/>
        <bgColor indexed="64"/>
      </patternFill>
    </fill>
    <fill>
      <patternFill patternType="solid">
        <fgColor theme="8" tint="0.59999389629810485"/>
        <bgColor indexed="64"/>
      </patternFill>
    </fill>
    <fill>
      <patternFill patternType="solid">
        <fgColor theme="5" tint="0.39997558519241921"/>
        <bgColor indexed="64"/>
      </patternFill>
    </fill>
    <fill>
      <patternFill patternType="solid">
        <fgColor rgb="FFFFC000"/>
        <bgColor indexed="64"/>
      </patternFill>
    </fill>
    <fill>
      <patternFill patternType="solid">
        <fgColor theme="2" tint="-0.249977111117893"/>
        <bgColor indexed="64"/>
      </patternFill>
    </fill>
    <fill>
      <patternFill patternType="solid">
        <fgColor theme="1" tint="0.249977111117893"/>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1">
    <xf numFmtId="0" fontId="0" fillId="0" borderId="0" xfId="0"/>
    <xf numFmtId="0" fontId="0" fillId="0" borderId="1" xfId="0" applyBorder="1"/>
    <xf numFmtId="14" fontId="0" fillId="0" borderId="1" xfId="0" applyNumberFormat="1" applyBorder="1"/>
    <xf numFmtId="0" fontId="0" fillId="0" borderId="0" xfId="0" pivotButton="1"/>
    <xf numFmtId="0" fontId="0" fillId="0" borderId="0" xfId="0" applyAlignment="1">
      <alignment horizontal="left"/>
    </xf>
    <xf numFmtId="10" fontId="0" fillId="0" borderId="0" xfId="0" applyNumberFormat="1"/>
    <xf numFmtId="0" fontId="0" fillId="6" borderId="1" xfId="0" applyFill="1" applyBorder="1" applyAlignment="1">
      <alignment horizontal="center"/>
    </xf>
    <xf numFmtId="0" fontId="0" fillId="4" borderId="1" xfId="0" applyFill="1" applyBorder="1" applyAlignment="1">
      <alignment horizontal="center"/>
    </xf>
    <xf numFmtId="0" fontId="0" fillId="0" borderId="0" xfId="0" applyAlignment="1">
      <alignment horizontal="left" indent="1"/>
    </xf>
    <xf numFmtId="0" fontId="0" fillId="0" borderId="2" xfId="0" applyBorder="1"/>
    <xf numFmtId="0" fontId="0" fillId="0" borderId="3" xfId="0" applyBorder="1"/>
    <xf numFmtId="0" fontId="0" fillId="0" borderId="5" xfId="0" applyBorder="1"/>
    <xf numFmtId="14" fontId="0" fillId="0" borderId="6" xfId="0" applyNumberFormat="1" applyBorder="1"/>
    <xf numFmtId="0" fontId="0" fillId="0" borderId="6" xfId="0" applyBorder="1"/>
    <xf numFmtId="0" fontId="0" fillId="0" borderId="7" xfId="0" applyBorder="1"/>
    <xf numFmtId="0" fontId="0" fillId="2" borderId="0" xfId="0" applyFill="1" applyAlignment="1">
      <alignment horizontal="center"/>
    </xf>
    <xf numFmtId="0" fontId="0" fillId="3" borderId="0" xfId="0" applyFill="1" applyAlignment="1">
      <alignment horizontal="center"/>
    </xf>
    <xf numFmtId="0" fontId="0" fillId="5" borderId="3" xfId="0" applyFill="1" applyBorder="1" applyAlignment="1">
      <alignment horizontal="center"/>
    </xf>
    <xf numFmtId="0" fontId="0" fillId="5" borderId="2" xfId="0" applyFill="1" applyBorder="1" applyAlignment="1">
      <alignment horizontal="center"/>
    </xf>
    <xf numFmtId="0" fontId="0" fillId="0" borderId="0" xfId="0" applyNumberFormat="1"/>
    <xf numFmtId="0" fontId="1" fillId="7" borderId="4" xfId="0" applyFont="1" applyFill="1" applyBorder="1"/>
  </cellXfs>
  <cellStyles count="1">
    <cellStyle name="Normal" xfId="0" builtinId="0"/>
  </cellStyles>
  <dxfs count="17">
    <dxf>
      <font>
        <b/>
        <i val="0"/>
        <strike val="0"/>
        <condense val="0"/>
        <extend val="0"/>
        <outline val="0"/>
        <shadow val="0"/>
        <u val="none"/>
        <vertAlign val="baseline"/>
        <sz val="11"/>
        <color theme="1"/>
        <name val="Aptos Narrow"/>
        <family val="2"/>
        <scheme val="minor"/>
      </font>
      <fill>
        <patternFill patternType="solid">
          <fgColor indexed="64"/>
          <bgColor theme="1" tint="0.249977111117893"/>
        </patternFill>
      </fill>
    </dxf>
    <dxf>
      <border outline="0">
        <bottom style="thin">
          <color indexed="64"/>
        </bottom>
      </border>
    </dxf>
    <dxf>
      <fill>
        <patternFill>
          <bgColor theme="8" tint="0.59996337778862885"/>
        </patternFill>
      </fill>
      <border>
        <left style="thin">
          <color auto="1"/>
        </left>
        <right style="thin">
          <color auto="1"/>
        </right>
        <top style="thin">
          <color auto="1"/>
        </top>
        <bottom style="thin">
          <color auto="1"/>
        </bottom>
        <vertical/>
        <horizontal/>
      </border>
    </dxf>
    <dxf>
      <font>
        <color rgb="FF006100"/>
      </font>
      <fill>
        <patternFill>
          <bgColor rgb="FFC6EFCE"/>
        </patternFill>
      </fill>
      <border>
        <left style="thin">
          <color auto="1"/>
        </left>
        <right style="thin">
          <color auto="1"/>
        </right>
        <top style="thin">
          <color auto="1"/>
        </top>
        <bottom style="thin">
          <color auto="1"/>
        </bottom>
      </border>
    </dxf>
    <dxf>
      <font>
        <color rgb="FF006100"/>
      </font>
      <fill>
        <patternFill>
          <bgColor rgb="FFC6EFCE"/>
        </patternFill>
      </fill>
    </dxf>
    <dxf>
      <font>
        <color rgb="FF9C5700"/>
      </font>
      <fill>
        <patternFill>
          <bgColor rgb="FFFFEB9C"/>
        </patternFill>
      </fill>
    </dxf>
    <dxf>
      <font>
        <color rgb="FF006100"/>
      </font>
      <fill>
        <patternFill>
          <bgColor rgb="FFC6EFCE"/>
        </patternFill>
      </fill>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9" formatCode="m/d/yyyy"/>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[End-to-End Sales Analytics Dashboard in Excel.xlsx] Sales Performance Analysis!PivotTable2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Product vs Total_Sales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Sales Performance Analysis'!$B$3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 Sales Performance Analysis'!$A$4:$A$12</c:f>
              <c:strCache>
                <c:ptCount val="8"/>
                <c:pt idx="0">
                  <c:v>Headphones</c:v>
                </c:pt>
                <c:pt idx="1">
                  <c:v>Keyboard</c:v>
                </c:pt>
                <c:pt idx="2">
                  <c:v>Laptop</c:v>
                </c:pt>
                <c:pt idx="3">
                  <c:v>Monitor</c:v>
                </c:pt>
                <c:pt idx="4">
                  <c:v>Mouse</c:v>
                </c:pt>
                <c:pt idx="5">
                  <c:v>Printer</c:v>
                </c:pt>
                <c:pt idx="6">
                  <c:v>Tablet</c:v>
                </c:pt>
                <c:pt idx="7">
                  <c:v>Webcam</c:v>
                </c:pt>
              </c:strCache>
            </c:strRef>
          </c:cat>
          <c:val>
            <c:numRef>
              <c:f>' Sales Performance Analysis'!$B$4:$B$12</c:f>
              <c:numCache>
                <c:formatCode>0.00%</c:formatCode>
                <c:ptCount val="8"/>
                <c:pt idx="0">
                  <c:v>0.11204714249309115</c:v>
                </c:pt>
                <c:pt idx="1">
                  <c:v>0.167910247719877</c:v>
                </c:pt>
                <c:pt idx="2">
                  <c:v>8.1161105680643983E-2</c:v>
                </c:pt>
                <c:pt idx="3">
                  <c:v>8.7852942623667163E-2</c:v>
                </c:pt>
                <c:pt idx="4">
                  <c:v>0.10430107684816831</c:v>
                </c:pt>
                <c:pt idx="5">
                  <c:v>6.5961632097316578E-2</c:v>
                </c:pt>
                <c:pt idx="6">
                  <c:v>0.14490779262649459</c:v>
                </c:pt>
                <c:pt idx="7">
                  <c:v>0.23585805991074124</c:v>
                </c:pt>
              </c:numCache>
            </c:numRef>
          </c:val>
          <c:extLst>
            <c:ext xmlns:c16="http://schemas.microsoft.com/office/drawing/2014/chart" uri="{C3380CC4-5D6E-409C-BE32-E72D297353CC}">
              <c16:uniqueId val="{00000000-2B5D-4598-9046-55F9BFE23E78}"/>
            </c:ext>
          </c:extLst>
        </c:ser>
        <c:dLbls>
          <c:showLegendKey val="0"/>
          <c:showVal val="0"/>
          <c:showCatName val="0"/>
          <c:showSerName val="0"/>
          <c:showPercent val="0"/>
          <c:showBubbleSize val="0"/>
        </c:dLbls>
        <c:gapWidth val="100"/>
        <c:overlap val="-24"/>
        <c:axId val="1847795824"/>
        <c:axId val="1847805904"/>
      </c:barChart>
      <c:catAx>
        <c:axId val="184779582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47805904"/>
        <c:crosses val="autoZero"/>
        <c:auto val="1"/>
        <c:lblAlgn val="ctr"/>
        <c:lblOffset val="100"/>
        <c:noMultiLvlLbl val="0"/>
      </c:catAx>
      <c:valAx>
        <c:axId val="1847805904"/>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47795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[End-to-End Sales Analytics Dashboard in Excel.xlsx]Monthly Sales Trend Report!PivotTable1</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1400" b="1" i="0" u="none" strike="noStrike" cap="none" baseline="0"/>
              <a:t>Monthly Total Sales – 2024</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Trend Report'!$C$3:$C$4</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multiLvlStrRef>
              <c:f>'Monthly Sales Trend Report'!$A$5:$B$16</c:f>
              <c:multiLvlStrCache>
                <c:ptCount val="10"/>
                <c:lvl>
                  <c:pt idx="0">
                    <c:v>Jan</c:v>
                  </c:pt>
                  <c:pt idx="1">
                    <c:v>Feb</c:v>
                  </c:pt>
                  <c:pt idx="2">
                    <c:v>Mar</c:v>
                  </c:pt>
                  <c:pt idx="3">
                    <c:v>Apr</c:v>
                  </c:pt>
                  <c:pt idx="4">
                    <c:v>May</c:v>
                  </c:pt>
                  <c:pt idx="5">
                    <c:v>Jun</c:v>
                  </c:pt>
                  <c:pt idx="6">
                    <c:v>Jul</c:v>
                  </c:pt>
                  <c:pt idx="7">
                    <c:v>Aug</c:v>
                  </c:pt>
                  <c:pt idx="8">
                    <c:v>Sep</c:v>
                  </c:pt>
                  <c:pt idx="9">
                    <c:v>Oct</c:v>
                  </c:pt>
                </c:lvl>
                <c:lvl>
                  <c:pt idx="0">
                    <c:v>2024</c:v>
                  </c:pt>
                </c:lvl>
              </c:multiLvlStrCache>
            </c:multiLvlStrRef>
          </c:cat>
          <c:val>
            <c:numRef>
              <c:f>'Monthly Sales Trend Report'!$C$5:$C$16</c:f>
              <c:numCache>
                <c:formatCode>General</c:formatCode>
                <c:ptCount val="10"/>
                <c:pt idx="0">
                  <c:v>939465</c:v>
                </c:pt>
                <c:pt idx="1">
                  <c:v>289187</c:v>
                </c:pt>
                <c:pt idx="2">
                  <c:v>826019</c:v>
                </c:pt>
                <c:pt idx="3">
                  <c:v>810905</c:v>
                </c:pt>
                <c:pt idx="4">
                  <c:v>263200</c:v>
                </c:pt>
                <c:pt idx="5">
                  <c:v>341811</c:v>
                </c:pt>
                <c:pt idx="6">
                  <c:v>441195</c:v>
                </c:pt>
                <c:pt idx="7">
                  <c:v>618079</c:v>
                </c:pt>
                <c:pt idx="8">
                  <c:v>618881</c:v>
                </c:pt>
                <c:pt idx="9">
                  <c:v>297894</c:v>
                </c:pt>
              </c:numCache>
            </c:numRef>
          </c:val>
          <c:smooth val="0"/>
          <c:extLst>
            <c:ext xmlns:c16="http://schemas.microsoft.com/office/drawing/2014/chart" uri="{C3380CC4-5D6E-409C-BE32-E72D297353CC}">
              <c16:uniqueId val="{00000000-4826-4FBB-BF3E-DEF23244F893}"/>
            </c:ext>
          </c:extLst>
        </c:ser>
        <c:dLbls>
          <c:showLegendKey val="0"/>
          <c:showVal val="0"/>
          <c:showCatName val="0"/>
          <c:showSerName val="0"/>
          <c:showPercent val="0"/>
          <c:showBubbleSize val="0"/>
        </c:dLbls>
        <c:marker val="1"/>
        <c:smooth val="0"/>
        <c:axId val="1360663952"/>
        <c:axId val="1360660592"/>
      </c:lineChart>
      <c:catAx>
        <c:axId val="136066395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60660592"/>
        <c:crosses val="autoZero"/>
        <c:auto val="1"/>
        <c:lblAlgn val="ctr"/>
        <c:lblOffset val="100"/>
        <c:noMultiLvlLbl val="0"/>
      </c:catAx>
      <c:valAx>
        <c:axId val="136066059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60663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[End-to-End Sales Analytics Dashboard in Excel.xlsx]Monthly Sales Trend Report!PivotTable2</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1400" b="1" i="0" u="none" strike="noStrike" cap="none" baseline="0"/>
              <a:t>Running Total of Sales</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Trend Report'!$C$21:$C$22</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multiLvlStrRef>
              <c:f>'Monthly Sales Trend Report'!$A$23:$B$32</c:f>
              <c:multiLvlStrCache>
                <c:ptCount val="10"/>
                <c:lvl>
                  <c:pt idx="0">
                    <c:v>Jan</c:v>
                  </c:pt>
                  <c:pt idx="1">
                    <c:v>Feb</c:v>
                  </c:pt>
                  <c:pt idx="2">
                    <c:v>Mar</c:v>
                  </c:pt>
                  <c:pt idx="3">
                    <c:v>Apr</c:v>
                  </c:pt>
                  <c:pt idx="4">
                    <c:v>May</c:v>
                  </c:pt>
                  <c:pt idx="5">
                    <c:v>Jun</c:v>
                  </c:pt>
                  <c:pt idx="6">
                    <c:v>Jul</c:v>
                  </c:pt>
                  <c:pt idx="7">
                    <c:v>Aug</c:v>
                  </c:pt>
                  <c:pt idx="8">
                    <c:v>Sep</c:v>
                  </c:pt>
                  <c:pt idx="9">
                    <c:v>Oct</c:v>
                  </c:pt>
                </c:lvl>
                <c:lvl>
                  <c:pt idx="0">
                    <c:v>2024</c:v>
                  </c:pt>
                </c:lvl>
              </c:multiLvlStrCache>
            </c:multiLvlStrRef>
          </c:cat>
          <c:val>
            <c:numRef>
              <c:f>'Monthly Sales Trend Report'!$C$23:$C$32</c:f>
              <c:numCache>
                <c:formatCode>General</c:formatCode>
                <c:ptCount val="10"/>
                <c:pt idx="0">
                  <c:v>939465</c:v>
                </c:pt>
                <c:pt idx="1">
                  <c:v>1228652</c:v>
                </c:pt>
                <c:pt idx="2">
                  <c:v>2054671</c:v>
                </c:pt>
                <c:pt idx="3">
                  <c:v>2865576</c:v>
                </c:pt>
                <c:pt idx="4">
                  <c:v>3128776</c:v>
                </c:pt>
                <c:pt idx="5">
                  <c:v>3470587</c:v>
                </c:pt>
                <c:pt idx="6">
                  <c:v>3911782</c:v>
                </c:pt>
                <c:pt idx="7">
                  <c:v>4529861</c:v>
                </c:pt>
                <c:pt idx="8">
                  <c:v>5148742</c:v>
                </c:pt>
                <c:pt idx="9">
                  <c:v>5446636</c:v>
                </c:pt>
              </c:numCache>
            </c:numRef>
          </c:val>
          <c:smooth val="0"/>
          <c:extLst>
            <c:ext xmlns:c16="http://schemas.microsoft.com/office/drawing/2014/chart" uri="{C3380CC4-5D6E-409C-BE32-E72D297353CC}">
              <c16:uniqueId val="{00000000-300B-480F-83A6-7B0281781147}"/>
            </c:ext>
          </c:extLst>
        </c:ser>
        <c:dLbls>
          <c:showLegendKey val="0"/>
          <c:showVal val="0"/>
          <c:showCatName val="0"/>
          <c:showSerName val="0"/>
          <c:showPercent val="0"/>
          <c:showBubbleSize val="0"/>
        </c:dLbls>
        <c:marker val="1"/>
        <c:smooth val="0"/>
        <c:axId val="1574655520"/>
        <c:axId val="1574656960"/>
      </c:lineChart>
      <c:catAx>
        <c:axId val="157465552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74656960"/>
        <c:crosses val="autoZero"/>
        <c:auto val="1"/>
        <c:lblAlgn val="ctr"/>
        <c:lblOffset val="100"/>
        <c:noMultiLvlLbl val="0"/>
      </c:catAx>
      <c:valAx>
        <c:axId val="157465696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74655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[End-to-End Sales Analytics Dashboard in Excel.xlsx]Monthly Sales Trend Report!PivotTable3</c:name>
    <c:fmtId val="0"/>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Sales Trend Report'!$C$38:$C$39</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multiLvlStrRef>
              <c:f>'Monthly Sales Trend Report'!$A$40:$B$50</c:f>
              <c:multiLvlStrCache>
                <c:ptCount val="10"/>
                <c:lvl>
                  <c:pt idx="0">
                    <c:v>Jan</c:v>
                  </c:pt>
                  <c:pt idx="1">
                    <c:v>Feb</c:v>
                  </c:pt>
                  <c:pt idx="2">
                    <c:v>Mar</c:v>
                  </c:pt>
                  <c:pt idx="3">
                    <c:v>Apr</c:v>
                  </c:pt>
                  <c:pt idx="4">
                    <c:v>May</c:v>
                  </c:pt>
                  <c:pt idx="5">
                    <c:v>Jun</c:v>
                  </c:pt>
                  <c:pt idx="6">
                    <c:v>Jul</c:v>
                  </c:pt>
                  <c:pt idx="7">
                    <c:v>Aug</c:v>
                  </c:pt>
                  <c:pt idx="8">
                    <c:v>Sep</c:v>
                  </c:pt>
                  <c:pt idx="9">
                    <c:v>Oct</c:v>
                  </c:pt>
                </c:lvl>
                <c:lvl>
                  <c:pt idx="0">
                    <c:v>2024</c:v>
                  </c:pt>
                </c:lvl>
              </c:multiLvlStrCache>
            </c:multiLvlStrRef>
          </c:cat>
          <c:val>
            <c:numRef>
              <c:f>'Monthly Sales Trend Report'!$C$40:$C$50</c:f>
              <c:numCache>
                <c:formatCode>General</c:formatCode>
                <c:ptCount val="10"/>
                <c:pt idx="0">
                  <c:v>939465</c:v>
                </c:pt>
                <c:pt idx="1">
                  <c:v>289187</c:v>
                </c:pt>
                <c:pt idx="2">
                  <c:v>826019</c:v>
                </c:pt>
                <c:pt idx="3">
                  <c:v>810905</c:v>
                </c:pt>
                <c:pt idx="4">
                  <c:v>263200</c:v>
                </c:pt>
                <c:pt idx="5">
                  <c:v>341811</c:v>
                </c:pt>
                <c:pt idx="6">
                  <c:v>441195</c:v>
                </c:pt>
                <c:pt idx="7">
                  <c:v>618079</c:v>
                </c:pt>
                <c:pt idx="8">
                  <c:v>618881</c:v>
                </c:pt>
                <c:pt idx="9">
                  <c:v>297894</c:v>
                </c:pt>
              </c:numCache>
            </c:numRef>
          </c:val>
          <c:extLst>
            <c:ext xmlns:c16="http://schemas.microsoft.com/office/drawing/2014/chart" uri="{C3380CC4-5D6E-409C-BE32-E72D297353CC}">
              <c16:uniqueId val="{00000000-0FEC-4097-80C2-6B0A464B75A7}"/>
            </c:ext>
          </c:extLst>
        </c:ser>
        <c:dLbls>
          <c:dLblPos val="outEnd"/>
          <c:showLegendKey val="0"/>
          <c:showVal val="1"/>
          <c:showCatName val="0"/>
          <c:showSerName val="0"/>
          <c:showPercent val="0"/>
          <c:showBubbleSize val="0"/>
        </c:dLbls>
        <c:gapWidth val="315"/>
        <c:overlap val="-40"/>
        <c:axId val="2043888464"/>
        <c:axId val="2043888944"/>
      </c:barChart>
      <c:catAx>
        <c:axId val="204388846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43888944"/>
        <c:crosses val="autoZero"/>
        <c:auto val="1"/>
        <c:lblAlgn val="ctr"/>
        <c:lblOffset val="100"/>
        <c:noMultiLvlLbl val="0"/>
      </c:catAx>
      <c:valAx>
        <c:axId val="204388894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43888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[End-to-End Sales Analytics Dashboard in Excel.xlsx] Customer Purchase Analysis!PivotTable4</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800" b="1" i="0" u="none" strike="noStrike" baseline="0"/>
              <a:t>Repeat Customers Count</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 Customer Purchase Analysis'!$E$3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 Customer Purchase Analysis'!$D$4:$D$13</c:f>
              <c:strCache>
                <c:ptCount val="9"/>
                <c:pt idx="0">
                  <c:v>Sneha</c:v>
                </c:pt>
                <c:pt idx="1">
                  <c:v>Amit</c:v>
                </c:pt>
                <c:pt idx="2">
                  <c:v>Priya</c:v>
                </c:pt>
                <c:pt idx="3">
                  <c:v>Anita</c:v>
                </c:pt>
                <c:pt idx="4">
                  <c:v>Rahul</c:v>
                </c:pt>
                <c:pt idx="5">
                  <c:v>Neha</c:v>
                </c:pt>
                <c:pt idx="6">
                  <c:v>Karan</c:v>
                </c:pt>
                <c:pt idx="7">
                  <c:v>Pooja </c:v>
                </c:pt>
                <c:pt idx="8">
                  <c:v>Vikram</c:v>
                </c:pt>
              </c:strCache>
            </c:strRef>
          </c:cat>
          <c:val>
            <c:numRef>
              <c:f>' Customer Purchase Analysis'!$E$4:$E$13</c:f>
              <c:numCache>
                <c:formatCode>General</c:formatCode>
                <c:ptCount val="9"/>
                <c:pt idx="0">
                  <c:v>9</c:v>
                </c:pt>
                <c:pt idx="1">
                  <c:v>7</c:v>
                </c:pt>
                <c:pt idx="2">
                  <c:v>6</c:v>
                </c:pt>
                <c:pt idx="3">
                  <c:v>6</c:v>
                </c:pt>
                <c:pt idx="4">
                  <c:v>6</c:v>
                </c:pt>
                <c:pt idx="5">
                  <c:v>6</c:v>
                </c:pt>
                <c:pt idx="6">
                  <c:v>5</c:v>
                </c:pt>
                <c:pt idx="7">
                  <c:v>3</c:v>
                </c:pt>
                <c:pt idx="8">
                  <c:v>2</c:v>
                </c:pt>
              </c:numCache>
            </c:numRef>
          </c:val>
          <c:extLst>
            <c:ext xmlns:c16="http://schemas.microsoft.com/office/drawing/2014/chart" uri="{C3380CC4-5D6E-409C-BE32-E72D297353CC}">
              <c16:uniqueId val="{00000002-8B14-4A50-B7EA-E4F5889467C9}"/>
            </c:ext>
          </c:extLst>
        </c:ser>
        <c:dLbls>
          <c:dLblPos val="inEnd"/>
          <c:showLegendKey val="0"/>
          <c:showVal val="1"/>
          <c:showCatName val="0"/>
          <c:showSerName val="0"/>
          <c:showPercent val="0"/>
          <c:showBubbleSize val="0"/>
        </c:dLbls>
        <c:gapWidth val="65"/>
        <c:axId val="1935259216"/>
        <c:axId val="1935255376"/>
      </c:barChart>
      <c:catAx>
        <c:axId val="193525921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35255376"/>
        <c:crosses val="autoZero"/>
        <c:auto val="1"/>
        <c:lblAlgn val="ctr"/>
        <c:lblOffset val="100"/>
        <c:noMultiLvlLbl val="0"/>
      </c:catAx>
      <c:valAx>
        <c:axId val="1935255376"/>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93525921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2</xdr:col>
      <xdr:colOff>127000</xdr:colOff>
      <xdr:row>0</xdr:row>
      <xdr:rowOff>0</xdr:rowOff>
    </xdr:from>
    <xdr:to>
      <xdr:col>10</xdr:col>
      <xdr:colOff>469900</xdr:colOff>
      <xdr:row>16</xdr:row>
      <xdr:rowOff>120650</xdr:rowOff>
    </xdr:to>
    <xdr:graphicFrame macro="">
      <xdr:nvGraphicFramePr>
        <xdr:cNvPr id="2" name="Chart 1">
          <a:extLst>
            <a:ext uri="{FF2B5EF4-FFF2-40B4-BE49-F238E27FC236}">
              <a16:creationId xmlns:a16="http://schemas.microsoft.com/office/drawing/2014/main" id="{F0557DDD-A53E-476E-249D-B9305AD0E4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69850</xdr:colOff>
      <xdr:row>19</xdr:row>
      <xdr:rowOff>101600</xdr:rowOff>
    </xdr:from>
    <xdr:to>
      <xdr:col>5</xdr:col>
      <xdr:colOff>228600</xdr:colOff>
      <xdr:row>26</xdr:row>
      <xdr:rowOff>120650</xdr:rowOff>
    </xdr:to>
    <mc:AlternateContent xmlns:mc="http://schemas.openxmlformats.org/markup-compatibility/2006" xmlns:a14="http://schemas.microsoft.com/office/drawing/2010/main">
      <mc:Choice Requires="a14">
        <xdr:graphicFrame macro="">
          <xdr:nvGraphicFramePr>
            <xdr:cNvPr id="3" name="City">
              <a:extLst>
                <a:ext uri="{FF2B5EF4-FFF2-40B4-BE49-F238E27FC236}">
                  <a16:creationId xmlns:a16="http://schemas.microsoft.com/office/drawing/2014/main" id="{4FC9F6D6-9122-698D-83AA-9BB085355F47}"/>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2844800" y="3600450"/>
              <a:ext cx="1828800" cy="1308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76200</xdr:colOff>
      <xdr:row>1</xdr:row>
      <xdr:rowOff>114300</xdr:rowOff>
    </xdr:from>
    <xdr:to>
      <xdr:col>12</xdr:col>
      <xdr:colOff>12700</xdr:colOff>
      <xdr:row>16</xdr:row>
      <xdr:rowOff>95250</xdr:rowOff>
    </xdr:to>
    <xdr:graphicFrame macro="">
      <xdr:nvGraphicFramePr>
        <xdr:cNvPr id="2" name="Chart 1">
          <a:extLst>
            <a:ext uri="{FF2B5EF4-FFF2-40B4-BE49-F238E27FC236}">
              <a16:creationId xmlns:a16="http://schemas.microsoft.com/office/drawing/2014/main" id="{7AF4B760-6322-6443-C0C1-89289BB3BB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88900</xdr:colOff>
      <xdr:row>18</xdr:row>
      <xdr:rowOff>101600</xdr:rowOff>
    </xdr:from>
    <xdr:to>
      <xdr:col>11</xdr:col>
      <xdr:colOff>603250</xdr:colOff>
      <xdr:row>33</xdr:row>
      <xdr:rowOff>82550</xdr:rowOff>
    </xdr:to>
    <xdr:graphicFrame macro="">
      <xdr:nvGraphicFramePr>
        <xdr:cNvPr id="3" name="Chart 2">
          <a:extLst>
            <a:ext uri="{FF2B5EF4-FFF2-40B4-BE49-F238E27FC236}">
              <a16:creationId xmlns:a16="http://schemas.microsoft.com/office/drawing/2014/main" id="{4D1D1D02-FDFE-1537-5AF2-CE57F90F3F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88900</xdr:colOff>
      <xdr:row>21</xdr:row>
      <xdr:rowOff>12700</xdr:rowOff>
    </xdr:from>
    <xdr:to>
      <xdr:col>15</xdr:col>
      <xdr:colOff>501650</xdr:colOff>
      <xdr:row>29</xdr:row>
      <xdr:rowOff>82550</xdr:rowOff>
    </xdr:to>
    <mc:AlternateContent xmlns:mc="http://schemas.openxmlformats.org/markup-compatibility/2006" xmlns:a14="http://schemas.microsoft.com/office/drawing/2010/main">
      <mc:Choice Requires="a14">
        <xdr:graphicFrame macro="">
          <xdr:nvGraphicFramePr>
            <xdr:cNvPr id="4" name="Product">
              <a:extLst>
                <a:ext uri="{FF2B5EF4-FFF2-40B4-BE49-F238E27FC236}">
                  <a16:creationId xmlns:a16="http://schemas.microsoft.com/office/drawing/2014/main" id="{4300B941-CEBB-4833-AB16-3C64E0286E7D}"/>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8794750" y="3879850"/>
              <a:ext cx="2241550" cy="1543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130174</xdr:colOff>
      <xdr:row>36</xdr:row>
      <xdr:rowOff>19050</xdr:rowOff>
    </xdr:from>
    <xdr:to>
      <xdr:col>12</xdr:col>
      <xdr:colOff>19050</xdr:colOff>
      <xdr:row>51</xdr:row>
      <xdr:rowOff>0</xdr:rowOff>
    </xdr:to>
    <xdr:graphicFrame macro="">
      <xdr:nvGraphicFramePr>
        <xdr:cNvPr id="5" name="Chart 4">
          <a:extLst>
            <a:ext uri="{FF2B5EF4-FFF2-40B4-BE49-F238E27FC236}">
              <a16:creationId xmlns:a16="http://schemas.microsoft.com/office/drawing/2014/main" id="{3B39C330-24F2-3115-11B0-E181BBAA67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63500</xdr:colOff>
      <xdr:row>0</xdr:row>
      <xdr:rowOff>123825</xdr:rowOff>
    </xdr:from>
    <xdr:to>
      <xdr:col>12</xdr:col>
      <xdr:colOff>12700</xdr:colOff>
      <xdr:row>15</xdr:row>
      <xdr:rowOff>76200</xdr:rowOff>
    </xdr:to>
    <xdr:graphicFrame macro="">
      <xdr:nvGraphicFramePr>
        <xdr:cNvPr id="2" name="Chart 1">
          <a:extLst>
            <a:ext uri="{FF2B5EF4-FFF2-40B4-BE49-F238E27FC236}">
              <a16:creationId xmlns:a16="http://schemas.microsoft.com/office/drawing/2014/main" id="{7AA55FB9-F218-9C4A-78FB-B65A6B094D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018.844775115744" createdVersion="8" refreshedVersion="8" minRefreshableVersion="3" recordCount="50" xr:uid="{56293911-5C9A-4E34-8F70-25120C991FD3}">
  <cacheSource type="worksheet">
    <worksheetSource ref="A1:H51" sheet="Raw Data"/>
  </cacheSource>
  <cacheFields count="10">
    <cacheField name="Transaction_ID" numFmtId="0">
      <sharedItems/>
    </cacheField>
    <cacheField name="Date" numFmtId="14">
      <sharedItems containsSemiMixedTypes="0" containsNonDate="0" containsDate="1" containsString="0" minDate="2024-01-05T00:00:00" maxDate="2024-10-20T00:00:00" count="46">
        <d v="2024-08-02T00:00:00"/>
        <d v="2024-03-24T00:00:00"/>
        <d v="2024-07-10T00:00:00"/>
        <d v="2024-02-09T00:00:00"/>
        <d v="2024-07-06T00:00:00"/>
        <d v="2024-01-18T00:00:00"/>
        <d v="2024-03-11T00:00:00"/>
        <d v="2024-03-06T00:00:00"/>
        <d v="2024-07-22T00:00:00"/>
        <d v="2024-10-09T00:00:00"/>
        <d v="2024-04-07T00:00:00"/>
        <d v="2024-06-30T00:00:00"/>
        <d v="2024-05-20T00:00:00"/>
        <d v="2024-06-24T00:00:00"/>
        <d v="2024-09-01T00:00:00"/>
        <d v="2024-01-10T00:00:00"/>
        <d v="2024-09-18T00:00:00"/>
        <d v="2024-08-21T00:00:00"/>
        <d v="2024-01-29T00:00:00"/>
        <d v="2024-02-21T00:00:00"/>
        <d v="2024-01-19T00:00:00"/>
        <d v="2024-10-04T00:00:00"/>
        <d v="2024-04-21T00:00:00"/>
        <d v="2024-02-11T00:00:00"/>
        <d v="2024-01-15T00:00:00"/>
        <d v="2024-08-15T00:00:00"/>
        <d v="2024-03-19T00:00:00"/>
        <d v="2024-03-31T00:00:00"/>
        <d v="2024-10-19T00:00:00"/>
        <d v="2024-05-23T00:00:00"/>
        <d v="2024-09-15T00:00:00"/>
        <d v="2024-01-23T00:00:00"/>
        <d v="2024-04-25T00:00:00"/>
        <d v="2024-05-08T00:00:00"/>
        <d v="2024-01-27T00:00:00"/>
        <d v="2024-05-30T00:00:00"/>
        <d v="2024-08-25T00:00:00"/>
        <d v="2024-02-01T00:00:00"/>
        <d v="2024-07-02T00:00:00"/>
        <d v="2024-04-10T00:00:00"/>
        <d v="2024-09-19T00:00:00"/>
        <d v="2024-07-26T00:00:00"/>
        <d v="2024-01-08T00:00:00"/>
        <d v="2024-01-31T00:00:00"/>
        <d v="2024-01-05T00:00:00"/>
        <d v="2024-01-14T00:00:00"/>
      </sharedItems>
      <fieldGroup par="9"/>
    </cacheField>
    <cacheField name="Customer_Name" numFmtId="0">
      <sharedItems count="11">
        <s v="Pooja "/>
        <s v="Karan"/>
        <s v="Sneha"/>
        <s v="Rahul"/>
        <s v="Amit"/>
        <s v="Priya"/>
        <s v="Anita"/>
        <s v="Neha"/>
        <s v="Vikram"/>
        <s v="Amit " u="1"/>
        <s v="Pooja" u="1"/>
      </sharedItems>
    </cacheField>
    <cacheField name="Product" numFmtId="0">
      <sharedItems count="8">
        <s v="Webcam"/>
        <s v="Keyboard"/>
        <s v="Mouse"/>
        <s v="Headphones"/>
        <s v="Tablet"/>
        <s v="Laptop"/>
        <s v="Printer"/>
        <s v="Monitor"/>
      </sharedItems>
    </cacheField>
    <cacheField name="Units_Sold" numFmtId="0">
      <sharedItems containsSemiMixedTypes="0" containsString="0" containsNumber="1" containsInteger="1" minValue="1" maxValue="10"/>
    </cacheField>
    <cacheField name="Price_Per_Unit" numFmtId="0">
      <sharedItems containsSemiMixedTypes="0" containsString="0" containsNumber="1" containsInteger="1" minValue="1764" maxValue="49773"/>
    </cacheField>
    <cacheField name="Total_Sales" numFmtId="0">
      <sharedItems containsSemiMixedTypes="0" containsString="0" containsNumber="1" containsInteger="1" minValue="5292" maxValue="489920"/>
    </cacheField>
    <cacheField name="City" numFmtId="0">
      <sharedItems count="6">
        <s v="Delhi"/>
        <s v="Pune"/>
        <s v="Hyderabad"/>
        <s v="Mumbai"/>
        <s v="Bengaluru"/>
        <s v="Chennai"/>
      </sharedItems>
    </cacheField>
    <cacheField name="Months (Date)" numFmtId="0" databaseField="0">
      <fieldGroup base="1">
        <rangePr groupBy="months" startDate="2024-01-05T00:00:00" endDate="2024-10-20T00:00:00"/>
        <groupItems count="14">
          <s v="&lt;1/5/2024"/>
          <s v="Jan"/>
          <s v="Feb"/>
          <s v="Mar"/>
          <s v="Apr"/>
          <s v="May"/>
          <s v="Jun"/>
          <s v="Jul"/>
          <s v="Aug"/>
          <s v="Sep"/>
          <s v="Oct"/>
          <s v="Nov"/>
          <s v="Dec"/>
          <s v="&gt;10/20/2024"/>
        </groupItems>
      </fieldGroup>
    </cacheField>
    <cacheField name="Years (Date)" numFmtId="0" databaseField="0">
      <fieldGroup base="1">
        <rangePr groupBy="years" startDate="2024-01-05T00:00:00" endDate="2024-10-20T00:00:00"/>
        <groupItems count="3">
          <s v="&lt;1/5/2024"/>
          <s v="2024"/>
          <s v="&gt;10/20/2024"/>
        </groupItems>
      </fieldGroup>
    </cacheField>
  </cacheFields>
  <extLst>
    <ext xmlns:x14="http://schemas.microsoft.com/office/spreadsheetml/2009/9/main" uri="{725AE2AE-9491-48be-B2B4-4EB974FC3084}">
      <x14:pivotCacheDefinition pivotCacheId="13181958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s v="T001"/>
    <x v="0"/>
    <x v="0"/>
    <x v="0"/>
    <n v="2"/>
    <n v="25187"/>
    <n v="50374"/>
    <x v="0"/>
  </r>
  <r>
    <s v="T002"/>
    <x v="1"/>
    <x v="1"/>
    <x v="1"/>
    <n v="1"/>
    <n v="39672"/>
    <n v="39672"/>
    <x v="1"/>
  </r>
  <r>
    <s v="T003"/>
    <x v="2"/>
    <x v="2"/>
    <x v="2"/>
    <n v="3"/>
    <n v="21025"/>
    <n v="63075"/>
    <x v="2"/>
  </r>
  <r>
    <s v="T004"/>
    <x v="3"/>
    <x v="3"/>
    <x v="2"/>
    <n v="5"/>
    <n v="9236"/>
    <n v="46180"/>
    <x v="0"/>
  </r>
  <r>
    <s v="T005"/>
    <x v="4"/>
    <x v="4"/>
    <x v="0"/>
    <n v="1"/>
    <n v="22955"/>
    <n v="22955"/>
    <x v="3"/>
  </r>
  <r>
    <s v="T006"/>
    <x v="5"/>
    <x v="1"/>
    <x v="3"/>
    <n v="1"/>
    <n v="20040"/>
    <n v="20040"/>
    <x v="4"/>
  </r>
  <r>
    <s v="T007"/>
    <x v="6"/>
    <x v="2"/>
    <x v="3"/>
    <n v="7"/>
    <n v="32236"/>
    <n v="225652"/>
    <x v="2"/>
  </r>
  <r>
    <s v="T008"/>
    <x v="7"/>
    <x v="4"/>
    <x v="3"/>
    <n v="5"/>
    <n v="40590"/>
    <n v="202950"/>
    <x v="1"/>
  </r>
  <r>
    <s v="T009"/>
    <x v="8"/>
    <x v="4"/>
    <x v="2"/>
    <n v="3"/>
    <n v="20756"/>
    <n v="62268"/>
    <x v="2"/>
  </r>
  <r>
    <s v="T010"/>
    <x v="9"/>
    <x v="5"/>
    <x v="0"/>
    <n v="3"/>
    <n v="48084"/>
    <n v="144252"/>
    <x v="3"/>
  </r>
  <r>
    <s v="T011"/>
    <x v="10"/>
    <x v="6"/>
    <x v="4"/>
    <n v="9"/>
    <n v="44080"/>
    <n v="396720"/>
    <x v="0"/>
  </r>
  <r>
    <s v="T012"/>
    <x v="11"/>
    <x v="4"/>
    <x v="3"/>
    <n v="6"/>
    <n v="20576"/>
    <n v="123456"/>
    <x v="3"/>
  </r>
  <r>
    <s v="T013"/>
    <x v="12"/>
    <x v="5"/>
    <x v="0"/>
    <n v="6"/>
    <n v="22895"/>
    <n v="137370"/>
    <x v="4"/>
  </r>
  <r>
    <s v="T014"/>
    <x v="13"/>
    <x v="5"/>
    <x v="5"/>
    <n v="5"/>
    <n v="43671"/>
    <n v="218355"/>
    <x v="4"/>
  </r>
  <r>
    <s v="T015"/>
    <x v="14"/>
    <x v="3"/>
    <x v="1"/>
    <n v="8"/>
    <n v="34169"/>
    <n v="273352"/>
    <x v="4"/>
  </r>
  <r>
    <s v="T016"/>
    <x v="15"/>
    <x v="5"/>
    <x v="4"/>
    <n v="2"/>
    <n v="20241"/>
    <n v="40482"/>
    <x v="1"/>
  </r>
  <r>
    <s v="T017"/>
    <x v="16"/>
    <x v="7"/>
    <x v="1"/>
    <n v="7"/>
    <n v="31140"/>
    <n v="217980"/>
    <x v="2"/>
  </r>
  <r>
    <s v="T018"/>
    <x v="17"/>
    <x v="7"/>
    <x v="4"/>
    <n v="1"/>
    <n v="15787"/>
    <n v="15787"/>
    <x v="3"/>
  </r>
  <r>
    <s v="T019"/>
    <x v="18"/>
    <x v="5"/>
    <x v="6"/>
    <n v="4"/>
    <n v="28810"/>
    <n v="115240"/>
    <x v="1"/>
  </r>
  <r>
    <s v="T020"/>
    <x v="19"/>
    <x v="3"/>
    <x v="0"/>
    <n v="3"/>
    <n v="26115"/>
    <n v="78345"/>
    <x v="5"/>
  </r>
  <r>
    <s v="T021"/>
    <x v="20"/>
    <x v="4"/>
    <x v="4"/>
    <n v="5"/>
    <n v="24148"/>
    <n v="120740"/>
    <x v="2"/>
  </r>
  <r>
    <s v="T022"/>
    <x v="6"/>
    <x v="8"/>
    <x v="4"/>
    <n v="1"/>
    <n v="49773"/>
    <n v="49773"/>
    <x v="0"/>
  </r>
  <r>
    <s v="T023"/>
    <x v="21"/>
    <x v="7"/>
    <x v="5"/>
    <n v="2"/>
    <n v="39966"/>
    <n v="79932"/>
    <x v="5"/>
  </r>
  <r>
    <s v="T024"/>
    <x v="22"/>
    <x v="6"/>
    <x v="0"/>
    <n v="5"/>
    <n v="20679"/>
    <n v="103395"/>
    <x v="2"/>
  </r>
  <r>
    <s v="T025"/>
    <x v="23"/>
    <x v="7"/>
    <x v="0"/>
    <n v="2"/>
    <n v="41545"/>
    <n v="83090"/>
    <x v="5"/>
  </r>
  <r>
    <s v="T026"/>
    <x v="24"/>
    <x v="3"/>
    <x v="2"/>
    <n v="5"/>
    <n v="8381"/>
    <n v="41905"/>
    <x v="3"/>
  </r>
  <r>
    <s v="T027"/>
    <x v="25"/>
    <x v="2"/>
    <x v="0"/>
    <n v="10"/>
    <n v="48992"/>
    <n v="489920"/>
    <x v="2"/>
  </r>
  <r>
    <s v="T028"/>
    <x v="26"/>
    <x v="6"/>
    <x v="7"/>
    <n v="7"/>
    <n v="27356"/>
    <n v="191492"/>
    <x v="0"/>
  </r>
  <r>
    <s v="T029"/>
    <x v="27"/>
    <x v="0"/>
    <x v="6"/>
    <n v="4"/>
    <n v="29120"/>
    <n v="116480"/>
    <x v="0"/>
  </r>
  <r>
    <s v="T030"/>
    <x v="28"/>
    <x v="4"/>
    <x v="0"/>
    <n v="2"/>
    <n v="5389"/>
    <n v="10778"/>
    <x v="2"/>
  </r>
  <r>
    <s v="T031"/>
    <x v="29"/>
    <x v="3"/>
    <x v="5"/>
    <n v="8"/>
    <n v="13385"/>
    <n v="107080"/>
    <x v="0"/>
  </r>
  <r>
    <s v="T032"/>
    <x v="9"/>
    <x v="1"/>
    <x v="1"/>
    <n v="4"/>
    <n v="15733"/>
    <n v="62932"/>
    <x v="1"/>
  </r>
  <r>
    <s v="T033"/>
    <x v="30"/>
    <x v="0"/>
    <x v="6"/>
    <n v="2"/>
    <n v="39386"/>
    <n v="78772"/>
    <x v="4"/>
  </r>
  <r>
    <s v="T034"/>
    <x v="31"/>
    <x v="2"/>
    <x v="5"/>
    <n v="2"/>
    <n v="18344"/>
    <n v="36688"/>
    <x v="1"/>
  </r>
  <r>
    <s v="T035"/>
    <x v="32"/>
    <x v="2"/>
    <x v="2"/>
    <n v="6"/>
    <n v="31522"/>
    <n v="189132"/>
    <x v="3"/>
  </r>
  <r>
    <s v="T036"/>
    <x v="33"/>
    <x v="5"/>
    <x v="4"/>
    <n v="3"/>
    <n v="4486"/>
    <n v="13458"/>
    <x v="2"/>
  </r>
  <r>
    <s v="T037"/>
    <x v="34"/>
    <x v="2"/>
    <x v="4"/>
    <n v="6"/>
    <n v="8543"/>
    <n v="51258"/>
    <x v="4"/>
  </r>
  <r>
    <s v="T038"/>
    <x v="35"/>
    <x v="2"/>
    <x v="4"/>
    <n v="3"/>
    <n v="1764"/>
    <n v="5292"/>
    <x v="1"/>
  </r>
  <r>
    <s v="T039"/>
    <x v="36"/>
    <x v="3"/>
    <x v="0"/>
    <n v="6"/>
    <n v="10333"/>
    <n v="61998"/>
    <x v="1"/>
  </r>
  <r>
    <s v="T040"/>
    <x v="37"/>
    <x v="4"/>
    <x v="7"/>
    <n v="4"/>
    <n v="20393"/>
    <n v="81572"/>
    <x v="1"/>
  </r>
  <r>
    <s v="T041"/>
    <x v="38"/>
    <x v="2"/>
    <x v="2"/>
    <n v="5"/>
    <n v="33106"/>
    <n v="165530"/>
    <x v="2"/>
  </r>
  <r>
    <s v="T042"/>
    <x v="39"/>
    <x v="8"/>
    <x v="7"/>
    <n v="4"/>
    <n v="20869"/>
    <n v="83476"/>
    <x v="3"/>
  </r>
  <r>
    <s v="T043"/>
    <x v="40"/>
    <x v="1"/>
    <x v="6"/>
    <n v="1"/>
    <n v="48777"/>
    <n v="48777"/>
    <x v="5"/>
  </r>
  <r>
    <s v="T044"/>
    <x v="41"/>
    <x v="6"/>
    <x v="7"/>
    <n v="1"/>
    <n v="31617"/>
    <n v="31617"/>
    <x v="0"/>
  </r>
  <r>
    <s v="T045"/>
    <x v="42"/>
    <x v="6"/>
    <x v="0"/>
    <n v="3"/>
    <n v="34052"/>
    <n v="102156"/>
    <x v="2"/>
  </r>
  <r>
    <s v="T046"/>
    <x v="39"/>
    <x v="7"/>
    <x v="3"/>
    <n v="1"/>
    <n v="38182"/>
    <n v="38182"/>
    <x v="3"/>
  </r>
  <r>
    <s v="T047"/>
    <x v="43"/>
    <x v="2"/>
    <x v="7"/>
    <n v="10"/>
    <n v="8242"/>
    <n v="82420"/>
    <x v="5"/>
  </r>
  <r>
    <s v="T048"/>
    <x v="44"/>
    <x v="1"/>
    <x v="7"/>
    <n v="2"/>
    <n v="3963"/>
    <n v="7926"/>
    <x v="3"/>
  </r>
  <r>
    <s v="T049"/>
    <x v="8"/>
    <x v="6"/>
    <x v="4"/>
    <n v="10"/>
    <n v="9575"/>
    <n v="95750"/>
    <x v="1"/>
  </r>
  <r>
    <s v="T050"/>
    <x v="45"/>
    <x v="7"/>
    <x v="1"/>
    <n v="10"/>
    <n v="32061"/>
    <n v="32061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68F1AE-3CD5-4C2E-BB98-E466208DFAEB}" name="PivotTable2"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2" firstHeaderRow="1" firstDataRow="1" firstDataCol="1"/>
  <pivotFields count="10">
    <pivotField showAll="0"/>
    <pivotField numFmtId="14" showAll="0">
      <items count="47">
        <item x="44"/>
        <item x="42"/>
        <item x="15"/>
        <item x="45"/>
        <item x="24"/>
        <item x="5"/>
        <item x="20"/>
        <item x="31"/>
        <item x="34"/>
        <item x="18"/>
        <item x="43"/>
        <item x="37"/>
        <item x="3"/>
        <item x="23"/>
        <item x="19"/>
        <item x="7"/>
        <item x="6"/>
        <item x="26"/>
        <item x="1"/>
        <item x="27"/>
        <item x="10"/>
        <item x="39"/>
        <item x="22"/>
        <item x="32"/>
        <item x="33"/>
        <item x="12"/>
        <item x="29"/>
        <item x="35"/>
        <item x="13"/>
        <item x="11"/>
        <item x="38"/>
        <item x="4"/>
        <item x="2"/>
        <item x="8"/>
        <item x="41"/>
        <item x="0"/>
        <item x="25"/>
        <item x="17"/>
        <item x="36"/>
        <item x="14"/>
        <item x="30"/>
        <item x="16"/>
        <item x="40"/>
        <item x="21"/>
        <item x="9"/>
        <item x="28"/>
        <item t="default"/>
      </items>
    </pivotField>
    <pivotField showAll="0"/>
    <pivotField axis="axisRow" showAll="0">
      <items count="9">
        <item x="3"/>
        <item x="1"/>
        <item x="5"/>
        <item x="7"/>
        <item x="2"/>
        <item x="6"/>
        <item x="4"/>
        <item x="0"/>
        <item t="default"/>
      </items>
    </pivotField>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3"/>
  </rowFields>
  <rowItems count="9">
    <i>
      <x/>
    </i>
    <i>
      <x v="1"/>
    </i>
    <i>
      <x v="2"/>
    </i>
    <i>
      <x v="3"/>
    </i>
    <i>
      <x v="4"/>
    </i>
    <i>
      <x v="5"/>
    </i>
    <i>
      <x v="6"/>
    </i>
    <i>
      <x v="7"/>
    </i>
    <i t="grand">
      <x/>
    </i>
  </rowItems>
  <colItems count="1">
    <i/>
  </colItems>
  <dataFields count="1">
    <dataField name="Total_Sales as % of Grand Total" fld="6" showDataAs="percentOfTotal" baseField="0" baseItem="0" numFmtId="1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0CB5976-1E99-4DD0-AE43-3380782DCB3F}" name="PivotTable3"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0:B27" firstHeaderRow="1" firstDataRow="1" firstDataCol="1"/>
  <pivotFields count="10">
    <pivotField showAll="0"/>
    <pivotField numFmtId="14" showAll="0">
      <items count="47">
        <item x="44"/>
        <item x="42"/>
        <item x="15"/>
        <item x="45"/>
        <item x="24"/>
        <item x="5"/>
        <item x="20"/>
        <item x="31"/>
        <item x="34"/>
        <item x="18"/>
        <item x="43"/>
        <item x="37"/>
        <item x="3"/>
        <item x="23"/>
        <item x="19"/>
        <item x="7"/>
        <item x="6"/>
        <item x="26"/>
        <item x="1"/>
        <item x="27"/>
        <item x="10"/>
        <item x="39"/>
        <item x="22"/>
        <item x="32"/>
        <item x="33"/>
        <item x="12"/>
        <item x="29"/>
        <item x="35"/>
        <item x="13"/>
        <item x="11"/>
        <item x="38"/>
        <item x="4"/>
        <item x="2"/>
        <item x="8"/>
        <item x="41"/>
        <item x="0"/>
        <item x="25"/>
        <item x="17"/>
        <item x="36"/>
        <item x="14"/>
        <item x="30"/>
        <item x="16"/>
        <item x="40"/>
        <item x="21"/>
        <item x="9"/>
        <item x="28"/>
        <item t="default"/>
      </items>
    </pivotField>
    <pivotField showAll="0"/>
    <pivotField showAll="0"/>
    <pivotField showAll="0"/>
    <pivotField showAll="0"/>
    <pivotField dataField="1" showAll="0"/>
    <pivotField axis="axisRow" showAll="0">
      <items count="7">
        <item x="0"/>
        <item x="2"/>
        <item x="4"/>
        <item x="5"/>
        <item x="3"/>
        <item x="1"/>
        <item t="default"/>
      </items>
    </pivotField>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7"/>
  </rowFields>
  <rowItems count="7">
    <i>
      <x/>
    </i>
    <i>
      <x v="1"/>
    </i>
    <i>
      <x v="2"/>
    </i>
    <i>
      <x v="3"/>
    </i>
    <i>
      <x v="4"/>
    </i>
    <i>
      <x v="5"/>
    </i>
    <i t="grand">
      <x/>
    </i>
  </rowItems>
  <colItems count="1">
    <i/>
  </colItems>
  <dataFields count="1">
    <dataField name="Sum of Total_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BCF9395-4B15-4E8A-B70D-88191B53C72F}" name="PivotTable4"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0:B73" firstHeaderRow="1" firstDataRow="1" firstDataCol="1"/>
  <pivotFields count="10">
    <pivotField showAll="0"/>
    <pivotField numFmtId="14" showAll="0">
      <items count="47">
        <item x="44"/>
        <item x="42"/>
        <item x="15"/>
        <item x="45"/>
        <item x="24"/>
        <item x="5"/>
        <item x="20"/>
        <item x="31"/>
        <item x="34"/>
        <item x="18"/>
        <item x="43"/>
        <item x="37"/>
        <item x="3"/>
        <item x="23"/>
        <item x="19"/>
        <item x="7"/>
        <item x="6"/>
        <item x="26"/>
        <item x="1"/>
        <item x="27"/>
        <item x="10"/>
        <item x="39"/>
        <item x="22"/>
        <item x="32"/>
        <item x="33"/>
        <item x="12"/>
        <item x="29"/>
        <item x="35"/>
        <item x="13"/>
        <item x="11"/>
        <item x="38"/>
        <item x="4"/>
        <item x="2"/>
        <item x="8"/>
        <item x="41"/>
        <item x="0"/>
        <item x="25"/>
        <item x="17"/>
        <item x="36"/>
        <item x="14"/>
        <item x="30"/>
        <item x="16"/>
        <item x="40"/>
        <item x="21"/>
        <item x="9"/>
        <item x="28"/>
        <item t="default"/>
      </items>
    </pivotField>
    <pivotField showAll="0"/>
    <pivotField axis="axisRow" showAll="0" sortType="descending">
      <items count="9">
        <item x="3"/>
        <item x="1"/>
        <item x="5"/>
        <item x="7"/>
        <item x="2"/>
        <item x="6"/>
        <item x="4"/>
        <item x="0"/>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axis="axisRow" showAll="0" sortType="descending">
      <items count="7">
        <item x="0"/>
        <item x="2"/>
        <item x="4"/>
        <item x="5"/>
        <item x="3"/>
        <item x="1"/>
        <item t="default"/>
      </items>
      <autoSortScope>
        <pivotArea dataOnly="0" outline="0" fieldPosition="0">
          <references count="1">
            <reference field="4294967294" count="1" selected="0">
              <x v="0"/>
            </reference>
          </references>
        </pivotArea>
      </autoSortScope>
    </pivotField>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2">
    <field x="3"/>
    <field x="7"/>
  </rowFields>
  <rowItems count="43">
    <i>
      <x v="7"/>
    </i>
    <i r="1">
      <x v="1"/>
    </i>
    <i r="1">
      <x v="4"/>
    </i>
    <i r="1">
      <x v="3"/>
    </i>
    <i r="1">
      <x v="2"/>
    </i>
    <i r="1">
      <x v="5"/>
    </i>
    <i r="1">
      <x/>
    </i>
    <i>
      <x v="1"/>
    </i>
    <i r="1">
      <x/>
    </i>
    <i r="1">
      <x v="2"/>
    </i>
    <i r="1">
      <x v="1"/>
    </i>
    <i r="1">
      <x v="5"/>
    </i>
    <i>
      <x v="6"/>
    </i>
    <i r="1">
      <x/>
    </i>
    <i r="1">
      <x v="5"/>
    </i>
    <i r="1">
      <x v="1"/>
    </i>
    <i r="1">
      <x v="2"/>
    </i>
    <i r="1">
      <x v="4"/>
    </i>
    <i>
      <x/>
    </i>
    <i r="1">
      <x v="1"/>
    </i>
    <i r="1">
      <x v="5"/>
    </i>
    <i r="1">
      <x v="4"/>
    </i>
    <i r="1">
      <x v="2"/>
    </i>
    <i>
      <x v="4"/>
    </i>
    <i r="1">
      <x v="1"/>
    </i>
    <i r="1">
      <x v="4"/>
    </i>
    <i r="1">
      <x/>
    </i>
    <i>
      <x v="3"/>
    </i>
    <i r="1">
      <x/>
    </i>
    <i r="1">
      <x v="4"/>
    </i>
    <i r="1">
      <x v="3"/>
    </i>
    <i r="1">
      <x v="5"/>
    </i>
    <i>
      <x v="2"/>
    </i>
    <i r="1">
      <x v="2"/>
    </i>
    <i r="1">
      <x/>
    </i>
    <i r="1">
      <x v="3"/>
    </i>
    <i r="1">
      <x v="5"/>
    </i>
    <i>
      <x v="5"/>
    </i>
    <i r="1">
      <x/>
    </i>
    <i r="1">
      <x v="5"/>
    </i>
    <i r="1">
      <x v="2"/>
    </i>
    <i r="1">
      <x v="3"/>
    </i>
    <i t="grand">
      <x/>
    </i>
  </rowItems>
  <colItems count="1">
    <i/>
  </colItems>
  <dataFields count="1">
    <dataField name="Sum of Total_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8E5DE3B-8BEA-4BCD-9E5C-F7BB05686E02}" name="PivotTable3" cacheId="16"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2">
  <location ref="A38:C50" firstHeaderRow="2" firstDataRow="2" firstDataCol="2"/>
  <pivotFields count="10">
    <pivotField compact="0" outline="0" showAll="0"/>
    <pivotField compact="0" numFmtId="14" outline="0" showAll="0">
      <items count="47">
        <item x="44"/>
        <item x="42"/>
        <item x="15"/>
        <item x="45"/>
        <item x="24"/>
        <item x="5"/>
        <item x="20"/>
        <item x="31"/>
        <item x="34"/>
        <item x="18"/>
        <item x="43"/>
        <item x="37"/>
        <item x="3"/>
        <item x="23"/>
        <item x="19"/>
        <item x="7"/>
        <item x="6"/>
        <item x="26"/>
        <item x="1"/>
        <item x="27"/>
        <item x="10"/>
        <item x="39"/>
        <item x="22"/>
        <item x="32"/>
        <item x="33"/>
        <item x="12"/>
        <item x="29"/>
        <item x="35"/>
        <item x="13"/>
        <item x="11"/>
        <item x="38"/>
        <item x="4"/>
        <item x="2"/>
        <item x="8"/>
        <item x="41"/>
        <item x="0"/>
        <item x="25"/>
        <item x="17"/>
        <item x="36"/>
        <item x="14"/>
        <item x="30"/>
        <item x="16"/>
        <item x="40"/>
        <item x="21"/>
        <item x="9"/>
        <item x="28"/>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3">
        <item x="0"/>
        <item x="1"/>
        <item x="2"/>
      </items>
    </pivotField>
  </pivotFields>
  <rowFields count="2">
    <field x="9"/>
    <field x="8"/>
  </rowFields>
  <rowItems count="11">
    <i>
      <x v="1"/>
      <x v="1"/>
    </i>
    <i r="1">
      <x v="2"/>
    </i>
    <i r="1">
      <x v="3"/>
    </i>
    <i r="1">
      <x v="4"/>
    </i>
    <i r="1">
      <x v="5"/>
    </i>
    <i r="1">
      <x v="6"/>
    </i>
    <i r="1">
      <x v="7"/>
    </i>
    <i r="1">
      <x v="8"/>
    </i>
    <i r="1">
      <x v="9"/>
    </i>
    <i r="1">
      <x v="10"/>
    </i>
    <i t="grand">
      <x/>
    </i>
  </rowItems>
  <colItems count="1">
    <i/>
  </colItems>
  <dataFields count="1">
    <dataField name="Sum of Total_Sales" fld="6"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F9FB3C8-4F45-49B4-8A57-A78516A9608D}" name="PivotTable1" cacheId="16"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7">
  <location ref="A3:C16" firstHeaderRow="2" firstDataRow="2" firstDataCol="2"/>
  <pivotFields count="10">
    <pivotField compact="0" outline="0" showAll="0"/>
    <pivotField compact="0" numFmtId="14" outline="0" showAll="0">
      <items count="47">
        <item x="44"/>
        <item x="42"/>
        <item x="15"/>
        <item x="45"/>
        <item x="24"/>
        <item x="5"/>
        <item x="20"/>
        <item x="31"/>
        <item x="34"/>
        <item x="18"/>
        <item x="43"/>
        <item x="37"/>
        <item x="3"/>
        <item x="23"/>
        <item x="19"/>
        <item x="7"/>
        <item x="6"/>
        <item x="26"/>
        <item x="1"/>
        <item x="27"/>
        <item x="10"/>
        <item x="39"/>
        <item x="22"/>
        <item x="32"/>
        <item x="33"/>
        <item x="12"/>
        <item x="29"/>
        <item x="35"/>
        <item x="13"/>
        <item x="11"/>
        <item x="38"/>
        <item x="4"/>
        <item x="2"/>
        <item x="8"/>
        <item x="41"/>
        <item x="0"/>
        <item x="25"/>
        <item x="17"/>
        <item x="36"/>
        <item x="14"/>
        <item x="30"/>
        <item x="16"/>
        <item x="40"/>
        <item x="21"/>
        <item x="9"/>
        <item x="28"/>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axis="axisRow" compact="0" outline="0" showAll="0">
      <items count="15">
        <item x="0"/>
        <item x="1"/>
        <item x="2"/>
        <item x="3"/>
        <item x="4"/>
        <item x="5"/>
        <item x="6"/>
        <item x="7"/>
        <item x="8"/>
        <item x="9"/>
        <item x="10"/>
        <item x="11"/>
        <item x="12"/>
        <item x="13"/>
        <item t="default"/>
      </items>
    </pivotField>
    <pivotField axis="axisRow" compact="0" outline="0" showAll="0">
      <items count="4">
        <item x="0"/>
        <item x="1"/>
        <item x="2"/>
        <item t="default"/>
      </items>
    </pivotField>
  </pivotFields>
  <rowFields count="2">
    <field x="9"/>
    <field x="8"/>
  </rowFields>
  <rowItems count="12">
    <i>
      <x v="1"/>
      <x v="1"/>
    </i>
    <i r="1">
      <x v="2"/>
    </i>
    <i r="1">
      <x v="3"/>
    </i>
    <i r="1">
      <x v="4"/>
    </i>
    <i r="1">
      <x v="5"/>
    </i>
    <i r="1">
      <x v="6"/>
    </i>
    <i r="1">
      <x v="7"/>
    </i>
    <i r="1">
      <x v="8"/>
    </i>
    <i r="1">
      <x v="9"/>
    </i>
    <i r="1">
      <x v="10"/>
    </i>
    <i t="default">
      <x v="1"/>
    </i>
    <i t="grand">
      <x/>
    </i>
  </rowItems>
  <colItems count="1">
    <i/>
  </colItems>
  <dataFields count="1">
    <dataField name="Sum of Total_Sales" fld="6"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736852E-61E3-4C08-B0FE-22FD77EC818D}" name="PivotTable2" cacheId="16"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gridDropZones="1" multipleFieldFilters="0" chartFormat="4">
  <location ref="A21:C32" firstHeaderRow="2" firstDataRow="2" firstDataCol="2" rowPageCount="1" colPageCount="1"/>
  <pivotFields count="10">
    <pivotField compact="0" outline="0" showAll="0" defaultSubtotal="0"/>
    <pivotField compact="0" numFmtId="14" outline="0" showAll="0" defaultSubtotal="0">
      <items count="46">
        <item x="44"/>
        <item x="42"/>
        <item x="15"/>
        <item x="45"/>
        <item x="24"/>
        <item x="5"/>
        <item x="20"/>
        <item x="31"/>
        <item x="34"/>
        <item x="18"/>
        <item x="43"/>
        <item x="37"/>
        <item x="3"/>
        <item x="23"/>
        <item x="19"/>
        <item x="7"/>
        <item x="6"/>
        <item x="26"/>
        <item x="1"/>
        <item x="27"/>
        <item x="10"/>
        <item x="39"/>
        <item x="22"/>
        <item x="32"/>
        <item x="33"/>
        <item x="12"/>
        <item x="29"/>
        <item x="35"/>
        <item x="13"/>
        <item x="11"/>
        <item x="38"/>
        <item x="4"/>
        <item x="2"/>
        <item x="8"/>
        <item x="41"/>
        <item x="0"/>
        <item x="25"/>
        <item x="17"/>
        <item x="36"/>
        <item x="14"/>
        <item x="30"/>
        <item x="16"/>
        <item x="40"/>
        <item x="21"/>
        <item x="9"/>
        <item x="28"/>
      </items>
    </pivotField>
    <pivotField compact="0" outline="0" showAll="0" defaultSubtotal="0"/>
    <pivotField axis="axisPage" compact="0" outline="0" multipleItemSelectionAllowed="1" showAll="0" defaultSubtotal="0">
      <items count="8">
        <item x="3"/>
        <item x="1"/>
        <item x="5"/>
        <item x="7"/>
        <item x="2"/>
        <item x="6"/>
        <item x="4"/>
        <item x="0"/>
      </items>
    </pivotField>
    <pivotField compact="0" outline="0" showAll="0" defaultSubtotal="0"/>
    <pivotField compact="0" outline="0" showAll="0" defaultSubtotal="0"/>
    <pivotField dataField="1" compact="0" outline="0" showAll="0" defaultSubtotal="0"/>
    <pivotField compact="0" outline="0" showAll="0" defaultSubtotal="0"/>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3">
        <item x="0"/>
        <item x="1"/>
        <item x="2"/>
      </items>
    </pivotField>
  </pivotFields>
  <rowFields count="2">
    <field x="9"/>
    <field x="8"/>
  </rowFields>
  <rowItems count="10">
    <i>
      <x v="1"/>
      <x v="1"/>
    </i>
    <i r="1">
      <x v="2"/>
    </i>
    <i r="1">
      <x v="3"/>
    </i>
    <i r="1">
      <x v="4"/>
    </i>
    <i r="1">
      <x v="5"/>
    </i>
    <i r="1">
      <x v="6"/>
    </i>
    <i r="1">
      <x v="7"/>
    </i>
    <i r="1">
      <x v="8"/>
    </i>
    <i r="1">
      <x v="9"/>
    </i>
    <i r="1">
      <x v="10"/>
    </i>
  </rowItems>
  <colItems count="1">
    <i/>
  </colItems>
  <pageFields count="1">
    <pageField fld="3" hier="-1"/>
  </pageFields>
  <dataFields count="1">
    <dataField name="Running Total of Total_Sales" fld="6" showDataAs="runTotal" baseField="8"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547F704-0F06-491B-AA0B-0C141C6FC255}" name="PivotTable4"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D3:E13" firstHeaderRow="1" firstDataRow="1" firstDataCol="1"/>
  <pivotFields count="10">
    <pivotField showAll="0"/>
    <pivotField numFmtId="14" showAll="0">
      <items count="47">
        <item x="44"/>
        <item x="42"/>
        <item x="15"/>
        <item x="45"/>
        <item x="24"/>
        <item x="5"/>
        <item x="20"/>
        <item x="31"/>
        <item x="34"/>
        <item x="18"/>
        <item x="43"/>
        <item x="37"/>
        <item x="3"/>
        <item x="23"/>
        <item x="19"/>
        <item x="7"/>
        <item x="6"/>
        <item x="26"/>
        <item x="1"/>
        <item x="27"/>
        <item x="10"/>
        <item x="39"/>
        <item x="22"/>
        <item x="32"/>
        <item x="33"/>
        <item x="12"/>
        <item x="29"/>
        <item x="35"/>
        <item x="13"/>
        <item x="11"/>
        <item x="38"/>
        <item x="4"/>
        <item x="2"/>
        <item x="8"/>
        <item x="41"/>
        <item x="0"/>
        <item x="25"/>
        <item x="17"/>
        <item x="36"/>
        <item x="14"/>
        <item x="30"/>
        <item x="16"/>
        <item x="40"/>
        <item x="21"/>
        <item x="9"/>
        <item x="28"/>
        <item t="default"/>
      </items>
    </pivotField>
    <pivotField axis="axisRow" dataField="1" showAll="0" sortType="descending">
      <items count="12">
        <item x="4"/>
        <item m="1" x="9"/>
        <item x="6"/>
        <item x="1"/>
        <item x="7"/>
        <item m="1" x="10"/>
        <item x="0"/>
        <item x="5"/>
        <item x="3"/>
        <item x="2"/>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defaultSubtotal="0"/>
    <pivotField showAll="0" defaultSubtotal="0">
      <items count="3">
        <item x="0"/>
        <item x="1"/>
        <item x="2"/>
      </items>
    </pivotField>
  </pivotFields>
  <rowFields count="1">
    <field x="2"/>
  </rowFields>
  <rowItems count="10">
    <i>
      <x v="9"/>
    </i>
    <i>
      <x/>
    </i>
    <i>
      <x v="7"/>
    </i>
    <i>
      <x v="2"/>
    </i>
    <i>
      <x v="8"/>
    </i>
    <i>
      <x v="4"/>
    </i>
    <i>
      <x v="3"/>
    </i>
    <i>
      <x v="6"/>
    </i>
    <i>
      <x v="10"/>
    </i>
    <i t="grand">
      <x/>
    </i>
  </rowItems>
  <colItems count="1">
    <i/>
  </colItems>
  <dataFields count="1">
    <dataField name="Count of Customer_Name" fld="2" subtotal="count" baseField="0" baseItem="0"/>
  </dataFields>
  <conditionalFormats count="1">
    <conditionalFormat priority="1">
      <pivotAreas count="1">
        <pivotArea type="data" collapsedLevelsAreSubtotals="1" fieldPosition="0">
          <references count="2">
            <reference field="4294967294" count="1" selected="0">
              <x v="0"/>
            </reference>
            <reference field="2" count="11">
              <x v="0"/>
              <x v="1"/>
              <x v="2"/>
              <x v="3"/>
              <x v="4"/>
              <x v="5"/>
              <x v="6"/>
              <x v="7"/>
              <x v="8"/>
              <x v="9"/>
              <x v="10"/>
            </reference>
          </references>
        </pivotArea>
      </pivotAreas>
    </conditionalFormat>
  </conditionalFormat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1173844-BD82-4DF7-9BF7-7683D5BA8AB4}" name="PivotTable1"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10">
    <pivotField showAll="0"/>
    <pivotField numFmtId="14" showAll="0">
      <items count="47">
        <item x="44"/>
        <item x="42"/>
        <item x="15"/>
        <item x="45"/>
        <item x="24"/>
        <item x="5"/>
        <item x="20"/>
        <item x="31"/>
        <item x="34"/>
        <item x="18"/>
        <item x="43"/>
        <item x="37"/>
        <item x="3"/>
        <item x="23"/>
        <item x="19"/>
        <item x="7"/>
        <item x="6"/>
        <item x="26"/>
        <item x="1"/>
        <item x="27"/>
        <item x="10"/>
        <item x="39"/>
        <item x="22"/>
        <item x="32"/>
        <item x="33"/>
        <item x="12"/>
        <item x="29"/>
        <item x="35"/>
        <item x="13"/>
        <item x="11"/>
        <item x="38"/>
        <item x="4"/>
        <item x="2"/>
        <item x="8"/>
        <item x="41"/>
        <item x="0"/>
        <item x="25"/>
        <item x="17"/>
        <item x="36"/>
        <item x="14"/>
        <item x="30"/>
        <item x="16"/>
        <item x="40"/>
        <item x="21"/>
        <item x="9"/>
        <item x="28"/>
        <item t="default"/>
      </items>
    </pivotField>
    <pivotField axis="axisRow" showAll="0" sortType="descending">
      <items count="12">
        <item x="4"/>
        <item m="1" x="9"/>
        <item x="6"/>
        <item x="1"/>
        <item x="7"/>
        <item m="1" x="10"/>
        <item x="0"/>
        <item x="5"/>
        <item x="3"/>
        <item x="2"/>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defaultSubtotal="0"/>
    <pivotField showAll="0" defaultSubtotal="0">
      <items count="3">
        <item x="0"/>
        <item x="1"/>
        <item x="2"/>
      </items>
    </pivotField>
  </pivotFields>
  <rowFields count="1">
    <field x="2"/>
  </rowFields>
  <rowItems count="10">
    <i>
      <x v="9"/>
    </i>
    <i>
      <x v="2"/>
    </i>
    <i>
      <x v="4"/>
    </i>
    <i>
      <x v="7"/>
    </i>
    <i>
      <x/>
    </i>
    <i>
      <x v="8"/>
    </i>
    <i>
      <x v="6"/>
    </i>
    <i>
      <x v="3"/>
    </i>
    <i>
      <x v="10"/>
    </i>
    <i t="grand">
      <x/>
    </i>
  </rowItems>
  <colItems count="1">
    <i/>
  </colItems>
  <dataFields count="1">
    <dataField name=" Total_Sales as % of Grand Total" fld="6" showDataAs="percentOfTotal" baseField="0" baseItem="0" numFmtId="10"/>
  </dataFields>
  <conditionalFormats count="1">
    <conditionalFormat type="all" priority="2">
      <pivotAreas count="1">
        <pivotArea type="data" collapsedLevelsAreSubtotals="1" fieldPosition="0">
          <references count="2">
            <reference field="4294967294" count="1" selected="0">
              <x v="0"/>
            </reference>
            <reference field="2" count="11">
              <x v="0"/>
              <x v="1"/>
              <x v="2"/>
              <x v="3"/>
              <x v="4"/>
              <x v="5"/>
              <x v="6"/>
              <x v="7"/>
              <x v="8"/>
              <x v="9"/>
              <x v="1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DEF71ADD-CA79-4773-B1F9-1416F07EDFD3}" sourceName="City">
  <pivotTables>
    <pivotTable tabId="3" name="PivotTable3"/>
  </pivotTables>
  <data>
    <tabular pivotCacheId="1318195810">
      <items count="6">
        <i x="0" s="1"/>
        <i x="2" s="1"/>
        <i x="4" s="1"/>
        <i x="5"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9E97891F-22FB-4C28-9C73-884D44C6B035}" sourceName="Product">
  <pivotTables>
    <pivotTable tabId="5" name="PivotTable2"/>
  </pivotTables>
  <data>
    <tabular pivotCacheId="1318195810">
      <items count="8">
        <i x="3" s="1"/>
        <i x="1" s="1"/>
        <i x="5" s="1"/>
        <i x="7" s="1"/>
        <i x="2" s="1"/>
        <i x="6" s="1"/>
        <i x="4"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96655C44-14FE-4A10-B172-DD83BF48E484}" cache="Slicer_City" caption="City" columnCount="2"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62AD7248-37DA-4715-B877-72CB5B3E7B5A}" cache="Slicer_Product" caption="Product" columnCount="2"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D0C13BF-D728-43EC-AE6F-228284392F8A}" name="Table1" displayName="Table1" ref="A1:H51" totalsRowShown="0" headerRowDxfId="0" headerRowBorderDxfId="1" tableBorderDxfId="16" totalsRowBorderDxfId="15">
  <autoFilter ref="A1:H51" xr:uid="{9D0C13BF-D728-43EC-AE6F-228284392F8A}"/>
  <tableColumns count="8">
    <tableColumn id="1" xr3:uid="{469E8AEB-10CD-4D1B-B73F-F0CC32DDBBDF}" name="Transaction_ID" dataDxfId="14"/>
    <tableColumn id="2" xr3:uid="{A88B03E4-6888-4E36-A100-A113AD19EEAA}" name="Date" dataDxfId="13"/>
    <tableColumn id="3" xr3:uid="{0C8D71C1-32BB-45F4-8083-B9FF4E480581}" name="Customer_Name" dataDxfId="12"/>
    <tableColumn id="4" xr3:uid="{DFCAA60B-CB0A-43CC-A0C4-611D2F0DFFB5}" name="Product" dataDxfId="11"/>
    <tableColumn id="5" xr3:uid="{A16C3538-6F23-466E-9EE2-98D77757DA6B}" name="Units_Sold" dataDxfId="10"/>
    <tableColumn id="6" xr3:uid="{FA220E7E-BA50-441F-99BE-1B2326400FF4}" name="Price_Per_Unit" dataDxfId="9"/>
    <tableColumn id="7" xr3:uid="{43833A0C-2D38-4517-9672-19A6FA07535B}" name="Total_Sales" dataDxfId="8"/>
    <tableColumn id="8" xr3:uid="{A6C67E44-A00B-431F-9E24-A5A17A7616C5}" name="City" dataDxfId="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5" Type="http://schemas.microsoft.com/office/2007/relationships/slicer" Target="../slicers/slicer2.xm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965820-85C4-446C-AD5F-DA1902384A26}">
  <dimension ref="A3:F73"/>
  <sheetViews>
    <sheetView workbookViewId="0">
      <selection activeCell="O9" sqref="O9"/>
    </sheetView>
  </sheetViews>
  <sheetFormatPr defaultRowHeight="14.5" x14ac:dyDescent="0.35"/>
  <cols>
    <col min="1" max="1" width="13.08984375" bestFit="1" customWidth="1"/>
    <col min="2" max="2" width="16.54296875" bestFit="1" customWidth="1"/>
    <col min="3" max="3" width="7.81640625" bestFit="1" customWidth="1"/>
    <col min="4" max="4" width="9.26953125" bestFit="1" customWidth="1"/>
    <col min="5" max="5" width="6.81640625" bestFit="1" customWidth="1"/>
    <col min="6" max="6" width="7.6328125" bestFit="1" customWidth="1"/>
    <col min="7" max="7" width="7.90625" bestFit="1" customWidth="1"/>
    <col min="8" max="8" width="10.36328125" bestFit="1" customWidth="1"/>
  </cols>
  <sheetData>
    <row r="3" spans="1:2" x14ac:dyDescent="0.35">
      <c r="A3" s="3" t="s">
        <v>81</v>
      </c>
      <c r="B3" t="s">
        <v>84</v>
      </c>
    </row>
    <row r="4" spans="1:2" x14ac:dyDescent="0.35">
      <c r="A4" s="4" t="s">
        <v>26</v>
      </c>
      <c r="B4" s="5">
        <v>0.11204714249309115</v>
      </c>
    </row>
    <row r="5" spans="1:2" x14ac:dyDescent="0.35">
      <c r="A5" s="4" t="s">
        <v>14</v>
      </c>
      <c r="B5" s="5">
        <v>0.167910247719877</v>
      </c>
    </row>
    <row r="6" spans="1:2" x14ac:dyDescent="0.35">
      <c r="A6" s="4" t="s">
        <v>39</v>
      </c>
      <c r="B6" s="5">
        <v>8.1161105680643983E-2</v>
      </c>
    </row>
    <row r="7" spans="1:2" x14ac:dyDescent="0.35">
      <c r="A7" s="4" t="s">
        <v>58</v>
      </c>
      <c r="B7" s="5">
        <v>8.7852942623667163E-2</v>
      </c>
    </row>
    <row r="8" spans="1:2" x14ac:dyDescent="0.35">
      <c r="A8" s="4" t="s">
        <v>18</v>
      </c>
      <c r="B8" s="5">
        <v>0.10430107684816831</v>
      </c>
    </row>
    <row r="9" spans="1:2" x14ac:dyDescent="0.35">
      <c r="A9" s="4" t="s">
        <v>46</v>
      </c>
      <c r="B9" s="5">
        <v>6.5961632097316578E-2</v>
      </c>
    </row>
    <row r="10" spans="1:2" x14ac:dyDescent="0.35">
      <c r="A10" s="4" t="s">
        <v>35</v>
      </c>
      <c r="B10" s="5">
        <v>0.14490779262649459</v>
      </c>
    </row>
    <row r="11" spans="1:2" x14ac:dyDescent="0.35">
      <c r="A11" s="4" t="s">
        <v>10</v>
      </c>
      <c r="B11" s="5">
        <v>0.23585805991074124</v>
      </c>
    </row>
    <row r="12" spans="1:2" x14ac:dyDescent="0.35">
      <c r="A12" s="4" t="s">
        <v>82</v>
      </c>
      <c r="B12" s="5">
        <v>1</v>
      </c>
    </row>
    <row r="20" spans="1:2" x14ac:dyDescent="0.35">
      <c r="A20" s="3" t="s">
        <v>81</v>
      </c>
      <c r="B20" t="s">
        <v>83</v>
      </c>
    </row>
    <row r="21" spans="1:2" x14ac:dyDescent="0.35">
      <c r="A21" s="4" t="s">
        <v>11</v>
      </c>
      <c r="B21" s="19">
        <v>1310326</v>
      </c>
    </row>
    <row r="22" spans="1:2" x14ac:dyDescent="0.35">
      <c r="A22" s="4" t="s">
        <v>19</v>
      </c>
      <c r="B22" s="19">
        <v>1574952</v>
      </c>
    </row>
    <row r="23" spans="1:2" x14ac:dyDescent="0.35">
      <c r="A23" s="4" t="s">
        <v>27</v>
      </c>
      <c r="B23" s="19">
        <v>779147</v>
      </c>
    </row>
    <row r="24" spans="1:2" x14ac:dyDescent="0.35">
      <c r="A24" s="4" t="s">
        <v>48</v>
      </c>
      <c r="B24" s="19">
        <v>372564</v>
      </c>
    </row>
    <row r="25" spans="1:2" x14ac:dyDescent="0.35">
      <c r="A25" s="4" t="s">
        <v>24</v>
      </c>
      <c r="B25" s="19">
        <v>667071</v>
      </c>
    </row>
    <row r="26" spans="1:2" x14ac:dyDescent="0.35">
      <c r="A26" s="4" t="s">
        <v>15</v>
      </c>
      <c r="B26" s="19">
        <v>742576</v>
      </c>
    </row>
    <row r="27" spans="1:2" x14ac:dyDescent="0.35">
      <c r="A27" s="4" t="s">
        <v>82</v>
      </c>
      <c r="B27" s="19">
        <v>5446636</v>
      </c>
    </row>
    <row r="30" spans="1:2" x14ac:dyDescent="0.35">
      <c r="A30" s="3" t="s">
        <v>81</v>
      </c>
      <c r="B30" t="s">
        <v>83</v>
      </c>
    </row>
    <row r="31" spans="1:2" x14ac:dyDescent="0.35">
      <c r="A31" s="4" t="s">
        <v>10</v>
      </c>
      <c r="B31" s="19">
        <v>1284633</v>
      </c>
    </row>
    <row r="32" spans="1:2" x14ac:dyDescent="0.35">
      <c r="A32" s="8" t="s">
        <v>19</v>
      </c>
      <c r="B32" s="19">
        <v>706249</v>
      </c>
    </row>
    <row r="33" spans="1:6" x14ac:dyDescent="0.35">
      <c r="A33" s="8" t="s">
        <v>24</v>
      </c>
      <c r="B33" s="19">
        <v>167207</v>
      </c>
    </row>
    <row r="34" spans="1:6" x14ac:dyDescent="0.35">
      <c r="A34" s="8" t="s">
        <v>48</v>
      </c>
      <c r="B34" s="19">
        <v>161435</v>
      </c>
    </row>
    <row r="35" spans="1:6" x14ac:dyDescent="0.35">
      <c r="A35" s="8" t="s">
        <v>27</v>
      </c>
      <c r="B35" s="19">
        <v>137370</v>
      </c>
      <c r="D35" s="15" t="s">
        <v>85</v>
      </c>
      <c r="E35" s="15"/>
      <c r="F35" s="15"/>
    </row>
    <row r="36" spans="1:6" x14ac:dyDescent="0.35">
      <c r="A36" s="8" t="s">
        <v>15</v>
      </c>
      <c r="B36" s="19">
        <v>61998</v>
      </c>
      <c r="D36" s="15" t="s">
        <v>86</v>
      </c>
      <c r="E36" s="15"/>
      <c r="F36" s="15"/>
    </row>
    <row r="37" spans="1:6" x14ac:dyDescent="0.35">
      <c r="A37" s="8" t="s">
        <v>11</v>
      </c>
      <c r="B37" s="19">
        <v>50374</v>
      </c>
    </row>
    <row r="38" spans="1:6" x14ac:dyDescent="0.35">
      <c r="A38" s="4" t="s">
        <v>14</v>
      </c>
      <c r="B38" s="19">
        <v>914546</v>
      </c>
    </row>
    <row r="39" spans="1:6" x14ac:dyDescent="0.35">
      <c r="A39" s="8" t="s">
        <v>11</v>
      </c>
      <c r="B39" s="19">
        <v>320610</v>
      </c>
    </row>
    <row r="40" spans="1:6" x14ac:dyDescent="0.35">
      <c r="A40" s="8" t="s">
        <v>27</v>
      </c>
      <c r="B40" s="19">
        <v>273352</v>
      </c>
    </row>
    <row r="41" spans="1:6" x14ac:dyDescent="0.35">
      <c r="A41" s="8" t="s">
        <v>19</v>
      </c>
      <c r="B41" s="19">
        <v>217980</v>
      </c>
    </row>
    <row r="42" spans="1:6" x14ac:dyDescent="0.35">
      <c r="A42" s="8" t="s">
        <v>15</v>
      </c>
      <c r="B42" s="19">
        <v>102604</v>
      </c>
    </row>
    <row r="43" spans="1:6" x14ac:dyDescent="0.35">
      <c r="A43" s="4" t="s">
        <v>35</v>
      </c>
      <c r="B43" s="19">
        <v>789260</v>
      </c>
    </row>
    <row r="44" spans="1:6" x14ac:dyDescent="0.35">
      <c r="A44" s="8" t="s">
        <v>11</v>
      </c>
      <c r="B44" s="19">
        <v>446493</v>
      </c>
    </row>
    <row r="45" spans="1:6" x14ac:dyDescent="0.35">
      <c r="A45" s="8" t="s">
        <v>15</v>
      </c>
      <c r="B45" s="19">
        <v>141524</v>
      </c>
    </row>
    <row r="46" spans="1:6" x14ac:dyDescent="0.35">
      <c r="A46" s="8" t="s">
        <v>19</v>
      </c>
      <c r="B46" s="19">
        <v>134198</v>
      </c>
    </row>
    <row r="47" spans="1:6" x14ac:dyDescent="0.35">
      <c r="A47" s="8" t="s">
        <v>27</v>
      </c>
      <c r="B47" s="19">
        <v>51258</v>
      </c>
    </row>
    <row r="48" spans="1:6" x14ac:dyDescent="0.35">
      <c r="A48" s="8" t="s">
        <v>24</v>
      </c>
      <c r="B48" s="19">
        <v>15787</v>
      </c>
    </row>
    <row r="49" spans="1:2" x14ac:dyDescent="0.35">
      <c r="A49" s="4" t="s">
        <v>26</v>
      </c>
      <c r="B49" s="19">
        <v>610280</v>
      </c>
    </row>
    <row r="50" spans="1:2" x14ac:dyDescent="0.35">
      <c r="A50" s="8" t="s">
        <v>19</v>
      </c>
      <c r="B50" s="19">
        <v>225652</v>
      </c>
    </row>
    <row r="51" spans="1:2" x14ac:dyDescent="0.35">
      <c r="A51" s="8" t="s">
        <v>15</v>
      </c>
      <c r="B51" s="19">
        <v>202950</v>
      </c>
    </row>
    <row r="52" spans="1:2" x14ac:dyDescent="0.35">
      <c r="A52" s="8" t="s">
        <v>24</v>
      </c>
      <c r="B52" s="19">
        <v>161638</v>
      </c>
    </row>
    <row r="53" spans="1:2" x14ac:dyDescent="0.35">
      <c r="A53" s="8" t="s">
        <v>27</v>
      </c>
      <c r="B53" s="19">
        <v>20040</v>
      </c>
    </row>
    <row r="54" spans="1:2" x14ac:dyDescent="0.35">
      <c r="A54" s="4" t="s">
        <v>18</v>
      </c>
      <c r="B54" s="19">
        <v>568090</v>
      </c>
    </row>
    <row r="55" spans="1:2" x14ac:dyDescent="0.35">
      <c r="A55" s="8" t="s">
        <v>19</v>
      </c>
      <c r="B55" s="19">
        <v>290873</v>
      </c>
    </row>
    <row r="56" spans="1:2" x14ac:dyDescent="0.35">
      <c r="A56" s="8" t="s">
        <v>24</v>
      </c>
      <c r="B56" s="19">
        <v>231037</v>
      </c>
    </row>
    <row r="57" spans="1:2" x14ac:dyDescent="0.35">
      <c r="A57" s="8" t="s">
        <v>11</v>
      </c>
      <c r="B57" s="19">
        <v>46180</v>
      </c>
    </row>
    <row r="58" spans="1:2" x14ac:dyDescent="0.35">
      <c r="A58" s="4" t="s">
        <v>58</v>
      </c>
      <c r="B58" s="19">
        <v>478503</v>
      </c>
    </row>
    <row r="59" spans="1:2" x14ac:dyDescent="0.35">
      <c r="A59" s="8" t="s">
        <v>11</v>
      </c>
      <c r="B59" s="19">
        <v>223109</v>
      </c>
    </row>
    <row r="60" spans="1:2" x14ac:dyDescent="0.35">
      <c r="A60" s="8" t="s">
        <v>24</v>
      </c>
      <c r="B60" s="19">
        <v>91402</v>
      </c>
    </row>
    <row r="61" spans="1:2" x14ac:dyDescent="0.35">
      <c r="A61" s="8" t="s">
        <v>48</v>
      </c>
      <c r="B61" s="19">
        <v>82420</v>
      </c>
    </row>
    <row r="62" spans="1:2" x14ac:dyDescent="0.35">
      <c r="A62" s="8" t="s">
        <v>15</v>
      </c>
      <c r="B62" s="19">
        <v>81572</v>
      </c>
    </row>
    <row r="63" spans="1:2" x14ac:dyDescent="0.35">
      <c r="A63" s="4" t="s">
        <v>39</v>
      </c>
      <c r="B63" s="19">
        <v>442055</v>
      </c>
    </row>
    <row r="64" spans="1:2" x14ac:dyDescent="0.35">
      <c r="A64" s="8" t="s">
        <v>27</v>
      </c>
      <c r="B64" s="19">
        <v>218355</v>
      </c>
    </row>
    <row r="65" spans="1:2" x14ac:dyDescent="0.35">
      <c r="A65" s="8" t="s">
        <v>11</v>
      </c>
      <c r="B65" s="19">
        <v>107080</v>
      </c>
    </row>
    <row r="66" spans="1:2" x14ac:dyDescent="0.35">
      <c r="A66" s="8" t="s">
        <v>48</v>
      </c>
      <c r="B66" s="19">
        <v>79932</v>
      </c>
    </row>
    <row r="67" spans="1:2" x14ac:dyDescent="0.35">
      <c r="A67" s="8" t="s">
        <v>15</v>
      </c>
      <c r="B67" s="19">
        <v>36688</v>
      </c>
    </row>
    <row r="68" spans="1:2" x14ac:dyDescent="0.35">
      <c r="A68" s="4" t="s">
        <v>46</v>
      </c>
      <c r="B68" s="19">
        <v>359269</v>
      </c>
    </row>
    <row r="69" spans="1:2" x14ac:dyDescent="0.35">
      <c r="A69" s="8" t="s">
        <v>11</v>
      </c>
      <c r="B69" s="19">
        <v>116480</v>
      </c>
    </row>
    <row r="70" spans="1:2" x14ac:dyDescent="0.35">
      <c r="A70" s="8" t="s">
        <v>15</v>
      </c>
      <c r="B70" s="19">
        <v>115240</v>
      </c>
    </row>
    <row r="71" spans="1:2" x14ac:dyDescent="0.35">
      <c r="A71" s="8" t="s">
        <v>27</v>
      </c>
      <c r="B71" s="19">
        <v>78772</v>
      </c>
    </row>
    <row r="72" spans="1:2" x14ac:dyDescent="0.35">
      <c r="A72" s="8" t="s">
        <v>48</v>
      </c>
      <c r="B72" s="19">
        <v>48777</v>
      </c>
    </row>
    <row r="73" spans="1:2" x14ac:dyDescent="0.35">
      <c r="A73" s="4" t="s">
        <v>82</v>
      </c>
      <c r="B73" s="19">
        <v>5446636</v>
      </c>
    </row>
  </sheetData>
  <mergeCells count="2">
    <mergeCell ref="D35:F35"/>
    <mergeCell ref="D36:F36"/>
  </mergeCells>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ABB53-7AB2-4DA0-A6CF-C6997BFE1A70}">
  <dimension ref="A3:P50"/>
  <sheetViews>
    <sheetView workbookViewId="0">
      <selection activeCell="P9" sqref="P9"/>
    </sheetView>
  </sheetViews>
  <sheetFormatPr defaultRowHeight="14.5" x14ac:dyDescent="0.35"/>
  <cols>
    <col min="1" max="1" width="24.36328125" bestFit="1" customWidth="1"/>
    <col min="2" max="2" width="14.81640625" bestFit="1" customWidth="1"/>
    <col min="3" max="4" width="7.81640625" bestFit="1" customWidth="1"/>
  </cols>
  <sheetData>
    <row r="3" spans="1:3" x14ac:dyDescent="0.35">
      <c r="A3" s="3" t="s">
        <v>83</v>
      </c>
    </row>
    <row r="4" spans="1:3" x14ac:dyDescent="0.35">
      <c r="A4" s="3" t="s">
        <v>100</v>
      </c>
      <c r="B4" s="3" t="s">
        <v>97</v>
      </c>
      <c r="C4" t="s">
        <v>98</v>
      </c>
    </row>
    <row r="5" spans="1:3" x14ac:dyDescent="0.35">
      <c r="A5" t="s">
        <v>99</v>
      </c>
      <c r="B5" t="s">
        <v>87</v>
      </c>
      <c r="C5" s="19">
        <v>939465</v>
      </c>
    </row>
    <row r="6" spans="1:3" x14ac:dyDescent="0.35">
      <c r="B6" t="s">
        <v>88</v>
      </c>
      <c r="C6" s="19">
        <v>289187</v>
      </c>
    </row>
    <row r="7" spans="1:3" x14ac:dyDescent="0.35">
      <c r="B7" t="s">
        <v>89</v>
      </c>
      <c r="C7" s="19">
        <v>826019</v>
      </c>
    </row>
    <row r="8" spans="1:3" x14ac:dyDescent="0.35">
      <c r="B8" t="s">
        <v>90</v>
      </c>
      <c r="C8" s="19">
        <v>810905</v>
      </c>
    </row>
    <row r="9" spans="1:3" x14ac:dyDescent="0.35">
      <c r="B9" t="s">
        <v>91</v>
      </c>
      <c r="C9" s="19">
        <v>263200</v>
      </c>
    </row>
    <row r="10" spans="1:3" x14ac:dyDescent="0.35">
      <c r="B10" t="s">
        <v>92</v>
      </c>
      <c r="C10" s="19">
        <v>341811</v>
      </c>
    </row>
    <row r="11" spans="1:3" x14ac:dyDescent="0.35">
      <c r="B11" t="s">
        <v>93</v>
      </c>
      <c r="C11" s="19">
        <v>441195</v>
      </c>
    </row>
    <row r="12" spans="1:3" x14ac:dyDescent="0.35">
      <c r="B12" t="s">
        <v>94</v>
      </c>
      <c r="C12" s="19">
        <v>618079</v>
      </c>
    </row>
    <row r="13" spans="1:3" x14ac:dyDescent="0.35">
      <c r="B13" t="s">
        <v>95</v>
      </c>
      <c r="C13" s="19">
        <v>618881</v>
      </c>
    </row>
    <row r="14" spans="1:3" x14ac:dyDescent="0.35">
      <c r="B14" t="s">
        <v>96</v>
      </c>
      <c r="C14" s="19">
        <v>297894</v>
      </c>
    </row>
    <row r="15" spans="1:3" x14ac:dyDescent="0.35">
      <c r="A15" t="s">
        <v>101</v>
      </c>
      <c r="C15" s="19">
        <v>5446636</v>
      </c>
    </row>
    <row r="16" spans="1:3" x14ac:dyDescent="0.35">
      <c r="A16" t="s">
        <v>82</v>
      </c>
      <c r="C16" s="19">
        <v>5446636</v>
      </c>
    </row>
    <row r="19" spans="1:3" x14ac:dyDescent="0.35">
      <c r="A19" s="3" t="s">
        <v>3</v>
      </c>
      <c r="B19" t="s">
        <v>103</v>
      </c>
    </row>
    <row r="21" spans="1:3" x14ac:dyDescent="0.35">
      <c r="A21" s="3" t="s">
        <v>102</v>
      </c>
    </row>
    <row r="22" spans="1:3" x14ac:dyDescent="0.35">
      <c r="A22" s="3" t="s">
        <v>100</v>
      </c>
      <c r="B22" s="3" t="s">
        <v>97</v>
      </c>
      <c r="C22" t="s">
        <v>98</v>
      </c>
    </row>
    <row r="23" spans="1:3" x14ac:dyDescent="0.35">
      <c r="A23" t="s">
        <v>99</v>
      </c>
      <c r="B23" t="s">
        <v>87</v>
      </c>
      <c r="C23" s="19">
        <v>939465</v>
      </c>
    </row>
    <row r="24" spans="1:3" x14ac:dyDescent="0.35">
      <c r="B24" t="s">
        <v>88</v>
      </c>
      <c r="C24" s="19">
        <v>1228652</v>
      </c>
    </row>
    <row r="25" spans="1:3" x14ac:dyDescent="0.35">
      <c r="B25" t="s">
        <v>89</v>
      </c>
      <c r="C25" s="19">
        <v>2054671</v>
      </c>
    </row>
    <row r="26" spans="1:3" x14ac:dyDescent="0.35">
      <c r="B26" t="s">
        <v>90</v>
      </c>
      <c r="C26" s="19">
        <v>2865576</v>
      </c>
    </row>
    <row r="27" spans="1:3" x14ac:dyDescent="0.35">
      <c r="B27" t="s">
        <v>91</v>
      </c>
      <c r="C27" s="19">
        <v>3128776</v>
      </c>
    </row>
    <row r="28" spans="1:3" x14ac:dyDescent="0.35">
      <c r="B28" t="s">
        <v>92</v>
      </c>
      <c r="C28" s="19">
        <v>3470587</v>
      </c>
    </row>
    <row r="29" spans="1:3" x14ac:dyDescent="0.35">
      <c r="B29" t="s">
        <v>93</v>
      </c>
      <c r="C29" s="19">
        <v>3911782</v>
      </c>
    </row>
    <row r="30" spans="1:3" x14ac:dyDescent="0.35">
      <c r="B30" t="s">
        <v>94</v>
      </c>
      <c r="C30" s="19">
        <v>4529861</v>
      </c>
    </row>
    <row r="31" spans="1:3" x14ac:dyDescent="0.35">
      <c r="B31" t="s">
        <v>95</v>
      </c>
      <c r="C31" s="19">
        <v>5148742</v>
      </c>
    </row>
    <row r="32" spans="1:3" x14ac:dyDescent="0.35">
      <c r="B32" t="s">
        <v>96</v>
      </c>
      <c r="C32" s="19">
        <v>5446636</v>
      </c>
    </row>
    <row r="38" spans="1:16" x14ac:dyDescent="0.35">
      <c r="A38" s="3" t="s">
        <v>83</v>
      </c>
    </row>
    <row r="39" spans="1:16" x14ac:dyDescent="0.35">
      <c r="A39" s="3" t="s">
        <v>100</v>
      </c>
      <c r="B39" s="3" t="s">
        <v>97</v>
      </c>
      <c r="C39" t="s">
        <v>98</v>
      </c>
    </row>
    <row r="40" spans="1:16" x14ac:dyDescent="0.35">
      <c r="A40" t="s">
        <v>99</v>
      </c>
      <c r="B40" t="s">
        <v>87</v>
      </c>
      <c r="C40" s="19">
        <v>939465</v>
      </c>
    </row>
    <row r="41" spans="1:16" x14ac:dyDescent="0.35">
      <c r="B41" t="s">
        <v>88</v>
      </c>
      <c r="C41" s="19">
        <v>289187</v>
      </c>
    </row>
    <row r="42" spans="1:16" x14ac:dyDescent="0.35">
      <c r="B42" t="s">
        <v>89</v>
      </c>
      <c r="C42" s="19">
        <v>826019</v>
      </c>
      <c r="N42" s="16" t="s">
        <v>104</v>
      </c>
      <c r="O42" s="16"/>
      <c r="P42" s="16"/>
    </row>
    <row r="43" spans="1:16" x14ac:dyDescent="0.35">
      <c r="B43" t="s">
        <v>90</v>
      </c>
      <c r="C43" s="19">
        <v>810905</v>
      </c>
      <c r="N43" s="16" t="s">
        <v>105</v>
      </c>
      <c r="O43" s="16"/>
      <c r="P43" s="16"/>
    </row>
    <row r="44" spans="1:16" x14ac:dyDescent="0.35">
      <c r="B44" t="s">
        <v>91</v>
      </c>
      <c r="C44" s="19">
        <v>263200</v>
      </c>
    </row>
    <row r="45" spans="1:16" x14ac:dyDescent="0.35">
      <c r="B45" t="s">
        <v>92</v>
      </c>
      <c r="C45" s="19">
        <v>341811</v>
      </c>
    </row>
    <row r="46" spans="1:16" x14ac:dyDescent="0.35">
      <c r="B46" t="s">
        <v>93</v>
      </c>
      <c r="C46" s="19">
        <v>441195</v>
      </c>
    </row>
    <row r="47" spans="1:16" x14ac:dyDescent="0.35">
      <c r="B47" t="s">
        <v>94</v>
      </c>
      <c r="C47" s="19">
        <v>618079</v>
      </c>
    </row>
    <row r="48" spans="1:16" x14ac:dyDescent="0.35">
      <c r="B48" t="s">
        <v>95</v>
      </c>
      <c r="C48" s="19">
        <v>618881</v>
      </c>
    </row>
    <row r="49" spans="1:3" x14ac:dyDescent="0.35">
      <c r="B49" t="s">
        <v>96</v>
      </c>
      <c r="C49" s="19">
        <v>297894</v>
      </c>
    </row>
    <row r="50" spans="1:3" x14ac:dyDescent="0.35">
      <c r="A50" t="s">
        <v>82</v>
      </c>
      <c r="C50" s="19">
        <v>5446636</v>
      </c>
    </row>
  </sheetData>
  <mergeCells count="2">
    <mergeCell ref="N42:P42"/>
    <mergeCell ref="N43:P43"/>
  </mergeCells>
  <conditionalFormatting sqref="B40:B49">
    <cfRule type="top10" dxfId="6" priority="1" rank="1"/>
    <cfRule type="top10" dxfId="5" priority="2" bottom="1" rank="1"/>
    <cfRule type="top10" dxfId="4" priority="3" rank="1"/>
  </conditionalFormatting>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1EF43-EB11-4C8D-9CAB-D197F0937156}">
  <dimension ref="A3:E20"/>
  <sheetViews>
    <sheetView workbookViewId="0">
      <selection activeCell="J21" sqref="J21"/>
    </sheetView>
  </sheetViews>
  <sheetFormatPr defaultRowHeight="14.5" x14ac:dyDescent="0.35"/>
  <cols>
    <col min="1" max="1" width="12.453125" bestFit="1" customWidth="1"/>
    <col min="2" max="2" width="27.08984375" bestFit="1" customWidth="1"/>
    <col min="4" max="4" width="12.453125" bestFit="1" customWidth="1"/>
    <col min="5" max="5" width="22.453125" bestFit="1" customWidth="1"/>
    <col min="7" max="7" width="12.453125" bestFit="1" customWidth="1"/>
    <col min="8" max="8" width="22.453125" bestFit="1" customWidth="1"/>
  </cols>
  <sheetData>
    <row r="3" spans="1:5" x14ac:dyDescent="0.35">
      <c r="A3" s="3" t="s">
        <v>81</v>
      </c>
      <c r="B3" t="s">
        <v>107</v>
      </c>
      <c r="D3" s="3" t="s">
        <v>81</v>
      </c>
      <c r="E3" t="s">
        <v>106</v>
      </c>
    </row>
    <row r="4" spans="1:5" x14ac:dyDescent="0.35">
      <c r="A4" s="4" t="s">
        <v>17</v>
      </c>
      <c r="B4" s="5">
        <v>0.24032577172405131</v>
      </c>
      <c r="D4" s="4" t="s">
        <v>17</v>
      </c>
      <c r="E4" s="19">
        <v>9</v>
      </c>
    </row>
    <row r="5" spans="1:5" x14ac:dyDescent="0.35">
      <c r="A5" s="4" t="s">
        <v>34</v>
      </c>
      <c r="B5" s="5">
        <v>0.16911906725545822</v>
      </c>
      <c r="D5" s="4" t="s">
        <v>23</v>
      </c>
      <c r="E5" s="19">
        <v>7</v>
      </c>
    </row>
    <row r="6" spans="1:5" x14ac:dyDescent="0.35">
      <c r="A6" s="4" t="s">
        <v>43</v>
      </c>
      <c r="B6" s="5">
        <v>0.13872434287879712</v>
      </c>
      <c r="D6" s="4" t="s">
        <v>32</v>
      </c>
      <c r="E6" s="19">
        <v>6</v>
      </c>
    </row>
    <row r="7" spans="1:5" x14ac:dyDescent="0.35">
      <c r="A7" s="4" t="s">
        <v>32</v>
      </c>
      <c r="B7" s="5">
        <v>0.12285693407820901</v>
      </c>
      <c r="D7" s="4" t="s">
        <v>34</v>
      </c>
      <c r="E7" s="19">
        <v>6</v>
      </c>
    </row>
    <row r="8" spans="1:5" x14ac:dyDescent="0.35">
      <c r="A8" s="4" t="s">
        <v>23</v>
      </c>
      <c r="B8" s="5">
        <v>0.11469813661129549</v>
      </c>
      <c r="D8" s="4" t="s">
        <v>21</v>
      </c>
      <c r="E8" s="19">
        <v>6</v>
      </c>
    </row>
    <row r="9" spans="1:5" x14ac:dyDescent="0.35">
      <c r="A9" s="4" t="s">
        <v>21</v>
      </c>
      <c r="B9" s="5">
        <v>0.11178643111087284</v>
      </c>
      <c r="D9" s="4" t="s">
        <v>43</v>
      </c>
      <c r="E9" s="19">
        <v>6</v>
      </c>
    </row>
    <row r="10" spans="1:5" x14ac:dyDescent="0.35">
      <c r="A10" s="4" t="s">
        <v>9</v>
      </c>
      <c r="B10" s="5">
        <v>4.5096826738559359E-2</v>
      </c>
      <c r="D10" s="4" t="s">
        <v>13</v>
      </c>
      <c r="E10" s="19">
        <v>5</v>
      </c>
    </row>
    <row r="11" spans="1:5" x14ac:dyDescent="0.35">
      <c r="A11" s="4" t="s">
        <v>13</v>
      </c>
      <c r="B11" s="5">
        <v>3.2928031173737334E-2</v>
      </c>
      <c r="D11" s="4" t="s">
        <v>9</v>
      </c>
      <c r="E11" s="19">
        <v>3</v>
      </c>
    </row>
    <row r="12" spans="1:5" x14ac:dyDescent="0.35">
      <c r="A12" s="4" t="s">
        <v>51</v>
      </c>
      <c r="B12" s="5">
        <v>2.4464458429019308E-2</v>
      </c>
      <c r="D12" s="4" t="s">
        <v>51</v>
      </c>
      <c r="E12" s="19">
        <v>2</v>
      </c>
    </row>
    <row r="13" spans="1:5" x14ac:dyDescent="0.35">
      <c r="A13" s="4" t="s">
        <v>82</v>
      </c>
      <c r="B13" s="5">
        <v>1</v>
      </c>
      <c r="D13" s="4" t="s">
        <v>82</v>
      </c>
      <c r="E13" s="19">
        <v>50</v>
      </c>
    </row>
    <row r="15" spans="1:5" x14ac:dyDescent="0.35">
      <c r="A15" s="17" t="s">
        <v>108</v>
      </c>
      <c r="B15" s="18"/>
    </row>
    <row r="16" spans="1:5" x14ac:dyDescent="0.35">
      <c r="A16" s="6">
        <v>1</v>
      </c>
      <c r="B16" s="7" t="s">
        <v>17</v>
      </c>
    </row>
    <row r="17" spans="1:2" x14ac:dyDescent="0.35">
      <c r="A17" s="6">
        <v>2</v>
      </c>
      <c r="B17" s="7" t="s">
        <v>34</v>
      </c>
    </row>
    <row r="18" spans="1:2" x14ac:dyDescent="0.35">
      <c r="A18" s="6">
        <v>3</v>
      </c>
      <c r="B18" s="7" t="s">
        <v>43</v>
      </c>
    </row>
    <row r="19" spans="1:2" x14ac:dyDescent="0.35">
      <c r="A19" s="6">
        <v>4</v>
      </c>
      <c r="B19" s="7" t="s">
        <v>32</v>
      </c>
    </row>
    <row r="20" spans="1:2" x14ac:dyDescent="0.35">
      <c r="A20" s="6">
        <v>5</v>
      </c>
      <c r="B20" s="7" t="s">
        <v>23</v>
      </c>
    </row>
  </sheetData>
  <mergeCells count="1">
    <mergeCell ref="A15:B15"/>
  </mergeCells>
  <conditionalFormatting pivot="1" sqref="B4:B12">
    <cfRule type="top10" dxfId="3" priority="2" rank="5"/>
  </conditionalFormatting>
  <conditionalFormatting pivot="1" sqref="E4:E12">
    <cfRule type="cellIs" dxfId="2" priority="1" operator="greaterThan">
      <formula>1</formula>
    </cfRule>
  </conditionalFormatting>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D6079-E82B-46DB-9812-C175B8EE4585}">
  <dimension ref="A1:H51"/>
  <sheetViews>
    <sheetView tabSelected="1" workbookViewId="0">
      <selection activeCell="C8" sqref="C8"/>
    </sheetView>
  </sheetViews>
  <sheetFormatPr defaultRowHeight="14.5" x14ac:dyDescent="0.35"/>
  <cols>
    <col min="1" max="1" width="15.26953125" customWidth="1"/>
    <col min="2" max="2" width="10.08984375" bestFit="1" customWidth="1"/>
    <col min="3" max="3" width="16.7265625" customWidth="1"/>
    <col min="4" max="4" width="11" bestFit="1" customWidth="1"/>
    <col min="5" max="5" width="11.81640625" customWidth="1"/>
    <col min="6" max="6" width="15" customWidth="1"/>
    <col min="7" max="7" width="12.26953125" customWidth="1"/>
    <col min="8" max="8" width="9.54296875" bestFit="1" customWidth="1"/>
  </cols>
  <sheetData>
    <row r="1" spans="1:8" x14ac:dyDescent="0.35">
      <c r="A1" s="20" t="s">
        <v>0</v>
      </c>
      <c r="B1" s="20" t="s">
        <v>1</v>
      </c>
      <c r="C1" s="20" t="s">
        <v>2</v>
      </c>
      <c r="D1" s="20" t="s">
        <v>3</v>
      </c>
      <c r="E1" s="20" t="s">
        <v>4</v>
      </c>
      <c r="F1" s="20" t="s">
        <v>5</v>
      </c>
      <c r="G1" s="20" t="s">
        <v>6</v>
      </c>
      <c r="H1" s="20" t="s">
        <v>7</v>
      </c>
    </row>
    <row r="2" spans="1:8" x14ac:dyDescent="0.35">
      <c r="A2" s="9" t="s">
        <v>8</v>
      </c>
      <c r="B2" s="2">
        <v>45506</v>
      </c>
      <c r="C2" s="1" t="s">
        <v>9</v>
      </c>
      <c r="D2" s="1" t="s">
        <v>10</v>
      </c>
      <c r="E2" s="1">
        <v>2</v>
      </c>
      <c r="F2" s="1">
        <v>25187</v>
      </c>
      <c r="G2" s="1">
        <v>50374</v>
      </c>
      <c r="H2" s="10" t="s">
        <v>11</v>
      </c>
    </row>
    <row r="3" spans="1:8" x14ac:dyDescent="0.35">
      <c r="A3" s="9" t="s">
        <v>12</v>
      </c>
      <c r="B3" s="2">
        <v>45375</v>
      </c>
      <c r="C3" s="1" t="s">
        <v>13</v>
      </c>
      <c r="D3" s="1" t="s">
        <v>14</v>
      </c>
      <c r="E3" s="1">
        <v>1</v>
      </c>
      <c r="F3" s="1">
        <v>39672</v>
      </c>
      <c r="G3" s="1">
        <v>39672</v>
      </c>
      <c r="H3" s="10" t="s">
        <v>15</v>
      </c>
    </row>
    <row r="4" spans="1:8" x14ac:dyDescent="0.35">
      <c r="A4" s="9" t="s">
        <v>16</v>
      </c>
      <c r="B4" s="2">
        <v>45483</v>
      </c>
      <c r="C4" s="1" t="s">
        <v>17</v>
      </c>
      <c r="D4" s="1" t="s">
        <v>18</v>
      </c>
      <c r="E4" s="1">
        <v>3</v>
      </c>
      <c r="F4" s="1">
        <v>21025</v>
      </c>
      <c r="G4" s="1">
        <v>63075</v>
      </c>
      <c r="H4" s="10" t="s">
        <v>19</v>
      </c>
    </row>
    <row r="5" spans="1:8" x14ac:dyDescent="0.35">
      <c r="A5" s="9" t="s">
        <v>20</v>
      </c>
      <c r="B5" s="2">
        <v>45331</v>
      </c>
      <c r="C5" s="1" t="s">
        <v>21</v>
      </c>
      <c r="D5" s="1" t="s">
        <v>18</v>
      </c>
      <c r="E5" s="1">
        <v>5</v>
      </c>
      <c r="F5" s="1">
        <v>9236</v>
      </c>
      <c r="G5" s="1">
        <v>46180</v>
      </c>
      <c r="H5" s="10" t="s">
        <v>11</v>
      </c>
    </row>
    <row r="6" spans="1:8" x14ac:dyDescent="0.35">
      <c r="A6" s="9" t="s">
        <v>22</v>
      </c>
      <c r="B6" s="2">
        <v>45479</v>
      </c>
      <c r="C6" s="1" t="s">
        <v>23</v>
      </c>
      <c r="D6" s="1" t="s">
        <v>10</v>
      </c>
      <c r="E6" s="1">
        <v>1</v>
      </c>
      <c r="F6" s="1">
        <v>22955</v>
      </c>
      <c r="G6" s="1">
        <v>22955</v>
      </c>
      <c r="H6" s="10" t="s">
        <v>24</v>
      </c>
    </row>
    <row r="7" spans="1:8" x14ac:dyDescent="0.35">
      <c r="A7" s="9" t="s">
        <v>25</v>
      </c>
      <c r="B7" s="2">
        <v>45309</v>
      </c>
      <c r="C7" s="1" t="s">
        <v>13</v>
      </c>
      <c r="D7" s="1" t="s">
        <v>26</v>
      </c>
      <c r="E7" s="1">
        <v>1</v>
      </c>
      <c r="F7" s="1">
        <v>20040</v>
      </c>
      <c r="G7" s="1">
        <v>20040</v>
      </c>
      <c r="H7" s="10" t="s">
        <v>27</v>
      </c>
    </row>
    <row r="8" spans="1:8" x14ac:dyDescent="0.35">
      <c r="A8" s="9" t="s">
        <v>28</v>
      </c>
      <c r="B8" s="2">
        <v>45362</v>
      </c>
      <c r="C8" s="1" t="s">
        <v>17</v>
      </c>
      <c r="D8" s="1" t="s">
        <v>26</v>
      </c>
      <c r="E8" s="1">
        <v>7</v>
      </c>
      <c r="F8" s="1">
        <v>32236</v>
      </c>
      <c r="G8" s="1">
        <v>225652</v>
      </c>
      <c r="H8" s="10" t="s">
        <v>19</v>
      </c>
    </row>
    <row r="9" spans="1:8" x14ac:dyDescent="0.35">
      <c r="A9" s="9" t="s">
        <v>29</v>
      </c>
      <c r="B9" s="2">
        <v>45357</v>
      </c>
      <c r="C9" s="1" t="s">
        <v>23</v>
      </c>
      <c r="D9" s="1" t="s">
        <v>26</v>
      </c>
      <c r="E9" s="1">
        <v>5</v>
      </c>
      <c r="F9" s="1">
        <v>40590</v>
      </c>
      <c r="G9" s="1">
        <v>202950</v>
      </c>
      <c r="H9" s="10" t="s">
        <v>15</v>
      </c>
    </row>
    <row r="10" spans="1:8" x14ac:dyDescent="0.35">
      <c r="A10" s="9" t="s">
        <v>30</v>
      </c>
      <c r="B10" s="2">
        <v>45495</v>
      </c>
      <c r="C10" s="1" t="s">
        <v>23</v>
      </c>
      <c r="D10" s="1" t="s">
        <v>18</v>
      </c>
      <c r="E10" s="1">
        <v>3</v>
      </c>
      <c r="F10" s="1">
        <v>20756</v>
      </c>
      <c r="G10" s="1">
        <v>62268</v>
      </c>
      <c r="H10" s="10" t="s">
        <v>19</v>
      </c>
    </row>
    <row r="11" spans="1:8" x14ac:dyDescent="0.35">
      <c r="A11" s="9" t="s">
        <v>31</v>
      </c>
      <c r="B11" s="2">
        <v>45574</v>
      </c>
      <c r="C11" s="1" t="s">
        <v>32</v>
      </c>
      <c r="D11" s="1" t="s">
        <v>10</v>
      </c>
      <c r="E11" s="1">
        <v>3</v>
      </c>
      <c r="F11" s="1">
        <v>48084</v>
      </c>
      <c r="G11" s="1">
        <v>144252</v>
      </c>
      <c r="H11" s="10" t="s">
        <v>24</v>
      </c>
    </row>
    <row r="12" spans="1:8" x14ac:dyDescent="0.35">
      <c r="A12" s="9" t="s">
        <v>33</v>
      </c>
      <c r="B12" s="2">
        <v>45389</v>
      </c>
      <c r="C12" s="1" t="s">
        <v>34</v>
      </c>
      <c r="D12" s="1" t="s">
        <v>35</v>
      </c>
      <c r="E12" s="1">
        <v>9</v>
      </c>
      <c r="F12" s="1">
        <v>44080</v>
      </c>
      <c r="G12" s="1">
        <v>396720</v>
      </c>
      <c r="H12" s="10" t="s">
        <v>11</v>
      </c>
    </row>
    <row r="13" spans="1:8" x14ac:dyDescent="0.35">
      <c r="A13" s="9" t="s">
        <v>36</v>
      </c>
      <c r="B13" s="2">
        <v>45473</v>
      </c>
      <c r="C13" s="1" t="s">
        <v>23</v>
      </c>
      <c r="D13" s="1" t="s">
        <v>26</v>
      </c>
      <c r="E13" s="1">
        <v>6</v>
      </c>
      <c r="F13" s="1">
        <v>20576</v>
      </c>
      <c r="G13" s="1">
        <v>123456</v>
      </c>
      <c r="H13" s="10" t="s">
        <v>24</v>
      </c>
    </row>
    <row r="14" spans="1:8" x14ac:dyDescent="0.35">
      <c r="A14" s="9" t="s">
        <v>37</v>
      </c>
      <c r="B14" s="2">
        <v>45432</v>
      </c>
      <c r="C14" s="1" t="s">
        <v>32</v>
      </c>
      <c r="D14" s="1" t="s">
        <v>10</v>
      </c>
      <c r="E14" s="1">
        <v>6</v>
      </c>
      <c r="F14" s="1">
        <v>22895</v>
      </c>
      <c r="G14" s="1">
        <v>137370</v>
      </c>
      <c r="H14" s="10" t="s">
        <v>27</v>
      </c>
    </row>
    <row r="15" spans="1:8" x14ac:dyDescent="0.35">
      <c r="A15" s="9" t="s">
        <v>38</v>
      </c>
      <c r="B15" s="2">
        <v>45467</v>
      </c>
      <c r="C15" s="1" t="s">
        <v>32</v>
      </c>
      <c r="D15" s="1" t="s">
        <v>39</v>
      </c>
      <c r="E15" s="1">
        <v>5</v>
      </c>
      <c r="F15" s="1">
        <v>43671</v>
      </c>
      <c r="G15" s="1">
        <v>218355</v>
      </c>
      <c r="H15" s="10" t="s">
        <v>27</v>
      </c>
    </row>
    <row r="16" spans="1:8" x14ac:dyDescent="0.35">
      <c r="A16" s="9" t="s">
        <v>40</v>
      </c>
      <c r="B16" s="2">
        <v>45536</v>
      </c>
      <c r="C16" s="1" t="s">
        <v>21</v>
      </c>
      <c r="D16" s="1" t="s">
        <v>14</v>
      </c>
      <c r="E16" s="1">
        <v>8</v>
      </c>
      <c r="F16" s="1">
        <v>34169</v>
      </c>
      <c r="G16" s="1">
        <v>273352</v>
      </c>
      <c r="H16" s="10" t="s">
        <v>27</v>
      </c>
    </row>
    <row r="17" spans="1:8" x14ac:dyDescent="0.35">
      <c r="A17" s="9" t="s">
        <v>41</v>
      </c>
      <c r="B17" s="2">
        <v>45301</v>
      </c>
      <c r="C17" s="1" t="s">
        <v>32</v>
      </c>
      <c r="D17" s="1" t="s">
        <v>35</v>
      </c>
      <c r="E17" s="1">
        <v>2</v>
      </c>
      <c r="F17" s="1">
        <v>20241</v>
      </c>
      <c r="G17" s="1">
        <v>40482</v>
      </c>
      <c r="H17" s="10" t="s">
        <v>15</v>
      </c>
    </row>
    <row r="18" spans="1:8" x14ac:dyDescent="0.35">
      <c r="A18" s="9" t="s">
        <v>42</v>
      </c>
      <c r="B18" s="2">
        <v>45553</v>
      </c>
      <c r="C18" s="1" t="s">
        <v>43</v>
      </c>
      <c r="D18" s="1" t="s">
        <v>14</v>
      </c>
      <c r="E18" s="1">
        <v>7</v>
      </c>
      <c r="F18" s="1">
        <v>31140</v>
      </c>
      <c r="G18" s="1">
        <v>217980</v>
      </c>
      <c r="H18" s="10" t="s">
        <v>19</v>
      </c>
    </row>
    <row r="19" spans="1:8" x14ac:dyDescent="0.35">
      <c r="A19" s="9" t="s">
        <v>44</v>
      </c>
      <c r="B19" s="2">
        <v>45525</v>
      </c>
      <c r="C19" s="1" t="s">
        <v>43</v>
      </c>
      <c r="D19" s="1" t="s">
        <v>35</v>
      </c>
      <c r="E19" s="1">
        <v>1</v>
      </c>
      <c r="F19" s="1">
        <v>15787</v>
      </c>
      <c r="G19" s="1">
        <v>15787</v>
      </c>
      <c r="H19" s="10" t="s">
        <v>24</v>
      </c>
    </row>
    <row r="20" spans="1:8" x14ac:dyDescent="0.35">
      <c r="A20" s="9" t="s">
        <v>45</v>
      </c>
      <c r="B20" s="2">
        <v>45320</v>
      </c>
      <c r="C20" s="1" t="s">
        <v>32</v>
      </c>
      <c r="D20" s="1" t="s">
        <v>46</v>
      </c>
      <c r="E20" s="1">
        <v>4</v>
      </c>
      <c r="F20" s="1">
        <v>28810</v>
      </c>
      <c r="G20" s="1">
        <v>115240</v>
      </c>
      <c r="H20" s="10" t="s">
        <v>15</v>
      </c>
    </row>
    <row r="21" spans="1:8" x14ac:dyDescent="0.35">
      <c r="A21" s="9" t="s">
        <v>47</v>
      </c>
      <c r="B21" s="2">
        <v>45343</v>
      </c>
      <c r="C21" s="1" t="s">
        <v>21</v>
      </c>
      <c r="D21" s="1" t="s">
        <v>10</v>
      </c>
      <c r="E21" s="1">
        <v>3</v>
      </c>
      <c r="F21" s="1">
        <v>26115</v>
      </c>
      <c r="G21" s="1">
        <v>78345</v>
      </c>
      <c r="H21" s="10" t="s">
        <v>48</v>
      </c>
    </row>
    <row r="22" spans="1:8" x14ac:dyDescent="0.35">
      <c r="A22" s="9" t="s">
        <v>49</v>
      </c>
      <c r="B22" s="2">
        <v>45310</v>
      </c>
      <c r="C22" s="1" t="s">
        <v>23</v>
      </c>
      <c r="D22" s="1" t="s">
        <v>35</v>
      </c>
      <c r="E22" s="1">
        <v>5</v>
      </c>
      <c r="F22" s="1">
        <v>24148</v>
      </c>
      <c r="G22" s="1">
        <v>120740</v>
      </c>
      <c r="H22" s="10" t="s">
        <v>19</v>
      </c>
    </row>
    <row r="23" spans="1:8" x14ac:dyDescent="0.35">
      <c r="A23" s="9" t="s">
        <v>50</v>
      </c>
      <c r="B23" s="2">
        <v>45362</v>
      </c>
      <c r="C23" s="1" t="s">
        <v>51</v>
      </c>
      <c r="D23" s="1" t="s">
        <v>35</v>
      </c>
      <c r="E23" s="1">
        <v>1</v>
      </c>
      <c r="F23" s="1">
        <v>49773</v>
      </c>
      <c r="G23" s="1">
        <v>49773</v>
      </c>
      <c r="H23" s="10" t="s">
        <v>11</v>
      </c>
    </row>
    <row r="24" spans="1:8" x14ac:dyDescent="0.35">
      <c r="A24" s="9" t="s">
        <v>52</v>
      </c>
      <c r="B24" s="2">
        <v>45569</v>
      </c>
      <c r="C24" s="1" t="s">
        <v>43</v>
      </c>
      <c r="D24" s="1" t="s">
        <v>39</v>
      </c>
      <c r="E24" s="1">
        <v>2</v>
      </c>
      <c r="F24" s="1">
        <v>39966</v>
      </c>
      <c r="G24" s="1">
        <v>79932</v>
      </c>
      <c r="H24" s="10" t="s">
        <v>48</v>
      </c>
    </row>
    <row r="25" spans="1:8" x14ac:dyDescent="0.35">
      <c r="A25" s="9" t="s">
        <v>53</v>
      </c>
      <c r="B25" s="2">
        <v>45403</v>
      </c>
      <c r="C25" s="1" t="s">
        <v>34</v>
      </c>
      <c r="D25" s="1" t="s">
        <v>10</v>
      </c>
      <c r="E25" s="1">
        <v>5</v>
      </c>
      <c r="F25" s="1">
        <v>20679</v>
      </c>
      <c r="G25" s="1">
        <v>103395</v>
      </c>
      <c r="H25" s="10" t="s">
        <v>19</v>
      </c>
    </row>
    <row r="26" spans="1:8" x14ac:dyDescent="0.35">
      <c r="A26" s="9" t="s">
        <v>54</v>
      </c>
      <c r="B26" s="2">
        <v>45333</v>
      </c>
      <c r="C26" s="1" t="s">
        <v>43</v>
      </c>
      <c r="D26" s="1" t="s">
        <v>10</v>
      </c>
      <c r="E26" s="1">
        <v>2</v>
      </c>
      <c r="F26" s="1">
        <v>41545</v>
      </c>
      <c r="G26" s="1">
        <v>83090</v>
      </c>
      <c r="H26" s="10" t="s">
        <v>48</v>
      </c>
    </row>
    <row r="27" spans="1:8" x14ac:dyDescent="0.35">
      <c r="A27" s="9" t="s">
        <v>55</v>
      </c>
      <c r="B27" s="2">
        <v>45306</v>
      </c>
      <c r="C27" s="1" t="s">
        <v>21</v>
      </c>
      <c r="D27" s="1" t="s">
        <v>18</v>
      </c>
      <c r="E27" s="1">
        <v>5</v>
      </c>
      <c r="F27" s="1">
        <v>8381</v>
      </c>
      <c r="G27" s="1">
        <v>41905</v>
      </c>
      <c r="H27" s="10" t="s">
        <v>24</v>
      </c>
    </row>
    <row r="28" spans="1:8" x14ac:dyDescent="0.35">
      <c r="A28" s="9" t="s">
        <v>56</v>
      </c>
      <c r="B28" s="2">
        <v>45519</v>
      </c>
      <c r="C28" s="1" t="s">
        <v>17</v>
      </c>
      <c r="D28" s="1" t="s">
        <v>10</v>
      </c>
      <c r="E28" s="1">
        <v>10</v>
      </c>
      <c r="F28" s="1">
        <v>48992</v>
      </c>
      <c r="G28" s="1">
        <v>489920</v>
      </c>
      <c r="H28" s="10" t="s">
        <v>19</v>
      </c>
    </row>
    <row r="29" spans="1:8" x14ac:dyDescent="0.35">
      <c r="A29" s="9" t="s">
        <v>57</v>
      </c>
      <c r="B29" s="2">
        <v>45370</v>
      </c>
      <c r="C29" s="1" t="s">
        <v>34</v>
      </c>
      <c r="D29" s="1" t="s">
        <v>58</v>
      </c>
      <c r="E29" s="1">
        <v>7</v>
      </c>
      <c r="F29" s="1">
        <v>27356</v>
      </c>
      <c r="G29" s="1">
        <v>191492</v>
      </c>
      <c r="H29" s="10" t="s">
        <v>11</v>
      </c>
    </row>
    <row r="30" spans="1:8" x14ac:dyDescent="0.35">
      <c r="A30" s="9" t="s">
        <v>59</v>
      </c>
      <c r="B30" s="2">
        <v>45382</v>
      </c>
      <c r="C30" s="1" t="s">
        <v>9</v>
      </c>
      <c r="D30" s="1" t="s">
        <v>46</v>
      </c>
      <c r="E30" s="1">
        <v>4</v>
      </c>
      <c r="F30" s="1">
        <v>29120</v>
      </c>
      <c r="G30" s="1">
        <v>116480</v>
      </c>
      <c r="H30" s="10" t="s">
        <v>11</v>
      </c>
    </row>
    <row r="31" spans="1:8" x14ac:dyDescent="0.35">
      <c r="A31" s="9" t="s">
        <v>60</v>
      </c>
      <c r="B31" s="2">
        <v>45584</v>
      </c>
      <c r="C31" s="1" t="s">
        <v>23</v>
      </c>
      <c r="D31" s="1" t="s">
        <v>10</v>
      </c>
      <c r="E31" s="1">
        <v>2</v>
      </c>
      <c r="F31" s="1">
        <v>5389</v>
      </c>
      <c r="G31" s="1">
        <v>10778</v>
      </c>
      <c r="H31" s="10" t="s">
        <v>19</v>
      </c>
    </row>
    <row r="32" spans="1:8" x14ac:dyDescent="0.35">
      <c r="A32" s="9" t="s">
        <v>61</v>
      </c>
      <c r="B32" s="2">
        <v>45435</v>
      </c>
      <c r="C32" s="1" t="s">
        <v>21</v>
      </c>
      <c r="D32" s="1" t="s">
        <v>39</v>
      </c>
      <c r="E32" s="1">
        <v>8</v>
      </c>
      <c r="F32" s="1">
        <v>13385</v>
      </c>
      <c r="G32" s="1">
        <v>107080</v>
      </c>
      <c r="H32" s="10" t="s">
        <v>11</v>
      </c>
    </row>
    <row r="33" spans="1:8" x14ac:dyDescent="0.35">
      <c r="A33" s="9" t="s">
        <v>62</v>
      </c>
      <c r="B33" s="2">
        <v>45574</v>
      </c>
      <c r="C33" s="1" t="s">
        <v>13</v>
      </c>
      <c r="D33" s="1" t="s">
        <v>14</v>
      </c>
      <c r="E33" s="1">
        <v>4</v>
      </c>
      <c r="F33" s="1">
        <v>15733</v>
      </c>
      <c r="G33" s="1">
        <v>62932</v>
      </c>
      <c r="H33" s="10" t="s">
        <v>15</v>
      </c>
    </row>
    <row r="34" spans="1:8" x14ac:dyDescent="0.35">
      <c r="A34" s="9" t="s">
        <v>63</v>
      </c>
      <c r="B34" s="2">
        <v>45550</v>
      </c>
      <c r="C34" s="1" t="s">
        <v>9</v>
      </c>
      <c r="D34" s="1" t="s">
        <v>46</v>
      </c>
      <c r="E34" s="1">
        <v>2</v>
      </c>
      <c r="F34" s="1">
        <v>39386</v>
      </c>
      <c r="G34" s="1">
        <v>78772</v>
      </c>
      <c r="H34" s="10" t="s">
        <v>27</v>
      </c>
    </row>
    <row r="35" spans="1:8" x14ac:dyDescent="0.35">
      <c r="A35" s="9" t="s">
        <v>64</v>
      </c>
      <c r="B35" s="2">
        <v>45314</v>
      </c>
      <c r="C35" s="1" t="s">
        <v>17</v>
      </c>
      <c r="D35" s="1" t="s">
        <v>39</v>
      </c>
      <c r="E35" s="1">
        <v>2</v>
      </c>
      <c r="F35" s="1">
        <v>18344</v>
      </c>
      <c r="G35" s="1">
        <v>36688</v>
      </c>
      <c r="H35" s="10" t="s">
        <v>15</v>
      </c>
    </row>
    <row r="36" spans="1:8" x14ac:dyDescent="0.35">
      <c r="A36" s="9" t="s">
        <v>65</v>
      </c>
      <c r="B36" s="2">
        <v>45407</v>
      </c>
      <c r="C36" s="1" t="s">
        <v>17</v>
      </c>
      <c r="D36" s="1" t="s">
        <v>18</v>
      </c>
      <c r="E36" s="1">
        <v>6</v>
      </c>
      <c r="F36" s="1">
        <v>31522</v>
      </c>
      <c r="G36" s="1">
        <v>189132</v>
      </c>
      <c r="H36" s="10" t="s">
        <v>24</v>
      </c>
    </row>
    <row r="37" spans="1:8" x14ac:dyDescent="0.35">
      <c r="A37" s="9" t="s">
        <v>66</v>
      </c>
      <c r="B37" s="2">
        <v>45420</v>
      </c>
      <c r="C37" s="1" t="s">
        <v>32</v>
      </c>
      <c r="D37" s="1" t="s">
        <v>35</v>
      </c>
      <c r="E37" s="1">
        <v>3</v>
      </c>
      <c r="F37" s="1">
        <v>4486</v>
      </c>
      <c r="G37" s="1">
        <v>13458</v>
      </c>
      <c r="H37" s="10" t="s">
        <v>19</v>
      </c>
    </row>
    <row r="38" spans="1:8" x14ac:dyDescent="0.35">
      <c r="A38" s="9" t="s">
        <v>67</v>
      </c>
      <c r="B38" s="2">
        <v>45318</v>
      </c>
      <c r="C38" s="1" t="s">
        <v>17</v>
      </c>
      <c r="D38" s="1" t="s">
        <v>35</v>
      </c>
      <c r="E38" s="1">
        <v>6</v>
      </c>
      <c r="F38" s="1">
        <v>8543</v>
      </c>
      <c r="G38" s="1">
        <v>51258</v>
      </c>
      <c r="H38" s="10" t="s">
        <v>27</v>
      </c>
    </row>
    <row r="39" spans="1:8" x14ac:dyDescent="0.35">
      <c r="A39" s="9" t="s">
        <v>68</v>
      </c>
      <c r="B39" s="2">
        <v>45442</v>
      </c>
      <c r="C39" s="1" t="s">
        <v>17</v>
      </c>
      <c r="D39" s="1" t="s">
        <v>35</v>
      </c>
      <c r="E39" s="1">
        <v>3</v>
      </c>
      <c r="F39" s="1">
        <v>1764</v>
      </c>
      <c r="G39" s="1">
        <v>5292</v>
      </c>
      <c r="H39" s="10" t="s">
        <v>15</v>
      </c>
    </row>
    <row r="40" spans="1:8" x14ac:dyDescent="0.35">
      <c r="A40" s="9" t="s">
        <v>69</v>
      </c>
      <c r="B40" s="2">
        <v>45529</v>
      </c>
      <c r="C40" s="1" t="s">
        <v>21</v>
      </c>
      <c r="D40" s="1" t="s">
        <v>10</v>
      </c>
      <c r="E40" s="1">
        <v>6</v>
      </c>
      <c r="F40" s="1">
        <v>10333</v>
      </c>
      <c r="G40" s="1">
        <v>61998</v>
      </c>
      <c r="H40" s="10" t="s">
        <v>15</v>
      </c>
    </row>
    <row r="41" spans="1:8" x14ac:dyDescent="0.35">
      <c r="A41" s="9" t="s">
        <v>70</v>
      </c>
      <c r="B41" s="2">
        <v>45323</v>
      </c>
      <c r="C41" s="1" t="s">
        <v>23</v>
      </c>
      <c r="D41" s="1" t="s">
        <v>58</v>
      </c>
      <c r="E41" s="1">
        <v>4</v>
      </c>
      <c r="F41" s="1">
        <v>20393</v>
      </c>
      <c r="G41" s="1">
        <v>81572</v>
      </c>
      <c r="H41" s="10" t="s">
        <v>15</v>
      </c>
    </row>
    <row r="42" spans="1:8" x14ac:dyDescent="0.35">
      <c r="A42" s="9" t="s">
        <v>71</v>
      </c>
      <c r="B42" s="2">
        <v>45475</v>
      </c>
      <c r="C42" s="1" t="s">
        <v>17</v>
      </c>
      <c r="D42" s="1" t="s">
        <v>18</v>
      </c>
      <c r="E42" s="1">
        <v>5</v>
      </c>
      <c r="F42" s="1">
        <v>33106</v>
      </c>
      <c r="G42" s="1">
        <v>165530</v>
      </c>
      <c r="H42" s="10" t="s">
        <v>19</v>
      </c>
    </row>
    <row r="43" spans="1:8" x14ac:dyDescent="0.35">
      <c r="A43" s="9" t="s">
        <v>72</v>
      </c>
      <c r="B43" s="2">
        <v>45392</v>
      </c>
      <c r="C43" s="1" t="s">
        <v>51</v>
      </c>
      <c r="D43" s="1" t="s">
        <v>58</v>
      </c>
      <c r="E43" s="1">
        <v>4</v>
      </c>
      <c r="F43" s="1">
        <v>20869</v>
      </c>
      <c r="G43" s="1">
        <v>83476</v>
      </c>
      <c r="H43" s="10" t="s">
        <v>24</v>
      </c>
    </row>
    <row r="44" spans="1:8" x14ac:dyDescent="0.35">
      <c r="A44" s="9" t="s">
        <v>73</v>
      </c>
      <c r="B44" s="2">
        <v>45554</v>
      </c>
      <c r="C44" s="1" t="s">
        <v>13</v>
      </c>
      <c r="D44" s="1" t="s">
        <v>46</v>
      </c>
      <c r="E44" s="1">
        <v>1</v>
      </c>
      <c r="F44" s="1">
        <v>48777</v>
      </c>
      <c r="G44" s="1">
        <v>48777</v>
      </c>
      <c r="H44" s="10" t="s">
        <v>48</v>
      </c>
    </row>
    <row r="45" spans="1:8" x14ac:dyDescent="0.35">
      <c r="A45" s="9" t="s">
        <v>74</v>
      </c>
      <c r="B45" s="2">
        <v>45499</v>
      </c>
      <c r="C45" s="1" t="s">
        <v>34</v>
      </c>
      <c r="D45" s="1" t="s">
        <v>58</v>
      </c>
      <c r="E45" s="1">
        <v>1</v>
      </c>
      <c r="F45" s="1">
        <v>31617</v>
      </c>
      <c r="G45" s="1">
        <v>31617</v>
      </c>
      <c r="H45" s="10" t="s">
        <v>11</v>
      </c>
    </row>
    <row r="46" spans="1:8" x14ac:dyDescent="0.35">
      <c r="A46" s="9" t="s">
        <v>75</v>
      </c>
      <c r="B46" s="2">
        <v>45299</v>
      </c>
      <c r="C46" s="1" t="s">
        <v>34</v>
      </c>
      <c r="D46" s="1" t="s">
        <v>10</v>
      </c>
      <c r="E46" s="1">
        <v>3</v>
      </c>
      <c r="F46" s="1">
        <v>34052</v>
      </c>
      <c r="G46" s="1">
        <v>102156</v>
      </c>
      <c r="H46" s="10" t="s">
        <v>19</v>
      </c>
    </row>
    <row r="47" spans="1:8" x14ac:dyDescent="0.35">
      <c r="A47" s="9" t="s">
        <v>76</v>
      </c>
      <c r="B47" s="2">
        <v>45392</v>
      </c>
      <c r="C47" s="1" t="s">
        <v>43</v>
      </c>
      <c r="D47" s="1" t="s">
        <v>26</v>
      </c>
      <c r="E47" s="1">
        <v>1</v>
      </c>
      <c r="F47" s="1">
        <v>38182</v>
      </c>
      <c r="G47" s="1">
        <v>38182</v>
      </c>
      <c r="H47" s="10" t="s">
        <v>24</v>
      </c>
    </row>
    <row r="48" spans="1:8" x14ac:dyDescent="0.35">
      <c r="A48" s="9" t="s">
        <v>77</v>
      </c>
      <c r="B48" s="2">
        <v>45322</v>
      </c>
      <c r="C48" s="1" t="s">
        <v>17</v>
      </c>
      <c r="D48" s="1" t="s">
        <v>58</v>
      </c>
      <c r="E48" s="1">
        <v>10</v>
      </c>
      <c r="F48" s="1">
        <v>8242</v>
      </c>
      <c r="G48" s="1">
        <v>82420</v>
      </c>
      <c r="H48" s="10" t="s">
        <v>48</v>
      </c>
    </row>
    <row r="49" spans="1:8" x14ac:dyDescent="0.35">
      <c r="A49" s="9" t="s">
        <v>78</v>
      </c>
      <c r="B49" s="2">
        <v>45296</v>
      </c>
      <c r="C49" s="1" t="s">
        <v>13</v>
      </c>
      <c r="D49" s="1" t="s">
        <v>58</v>
      </c>
      <c r="E49" s="1">
        <v>2</v>
      </c>
      <c r="F49" s="1">
        <v>3963</v>
      </c>
      <c r="G49" s="1">
        <v>7926</v>
      </c>
      <c r="H49" s="10" t="s">
        <v>24</v>
      </c>
    </row>
    <row r="50" spans="1:8" x14ac:dyDescent="0.35">
      <c r="A50" s="9" t="s">
        <v>79</v>
      </c>
      <c r="B50" s="2">
        <v>45495</v>
      </c>
      <c r="C50" s="1" t="s">
        <v>34</v>
      </c>
      <c r="D50" s="1" t="s">
        <v>35</v>
      </c>
      <c r="E50" s="1">
        <v>10</v>
      </c>
      <c r="F50" s="1">
        <v>9575</v>
      </c>
      <c r="G50" s="1">
        <v>95750</v>
      </c>
      <c r="H50" s="10" t="s">
        <v>15</v>
      </c>
    </row>
    <row r="51" spans="1:8" x14ac:dyDescent="0.35">
      <c r="A51" s="11" t="s">
        <v>80</v>
      </c>
      <c r="B51" s="12">
        <v>45305</v>
      </c>
      <c r="C51" s="13" t="s">
        <v>43</v>
      </c>
      <c r="D51" s="13" t="s">
        <v>14</v>
      </c>
      <c r="E51" s="13">
        <v>10</v>
      </c>
      <c r="F51" s="13">
        <v>32061</v>
      </c>
      <c r="G51" s="13">
        <v>320610</v>
      </c>
      <c r="H51" s="14" t="s">
        <v>11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Sales Performance Analysis</vt:lpstr>
      <vt:lpstr>Monthly Sales Trend Report</vt:lpstr>
      <vt:lpstr> Customer Purchase Analysis</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Shailesh kumar</dc:creator>
  <cp:lastModifiedBy>Shailesh kumar</cp:lastModifiedBy>
  <dcterms:created xsi:type="dcterms:W3CDTF">2025-12-24T11:52:44Z</dcterms:created>
  <dcterms:modified xsi:type="dcterms:W3CDTF">2025-12-27T14:47:42Z</dcterms:modified>
</cp:coreProperties>
</file>